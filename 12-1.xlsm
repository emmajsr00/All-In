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webextensions/webextension1.xml" ContentType="application/vnd.ms-office.webextension+xml"/>
  <Override PartName="/xl/webextensions/webextension2.xml" ContentType="application/vnd.ms-office.webextension+xml"/>
  <Override PartName="/xl/webextensions/webextension3.xml" ContentType="application/vnd.ms-office.webextension+xml"/>
  <Override PartName="/xl/webextensions/webextension4.xml" ContentType="application/vnd.ms-office.webextension+xml"/>
  <Override PartName="/xl/webextensions/webextension5.xml" ContentType="application/vnd.ms-office.webextension+xml"/>
  <Override PartName="/xl/webextensions/webextension6.xml" ContentType="application/vnd.ms-office.webextension+xml"/>
  <Override PartName="/xl/webextensions/webextension7.xml" ContentType="application/vnd.ms-office.webextension+xml"/>
  <Override PartName="/xl/webextensions/webextension8.xml" ContentType="application/vnd.ms-office.webextension+xml"/>
  <Override PartName="/xl/webextensions/webextension9.xml" ContentType="application/vnd.ms-office.webextension+xml"/>
  <Override PartName="/xl/webextensions/webextension10.xml" ContentType="application/vnd.ms-office.webextension+xml"/>
  <Override PartName="/xl/webextensions/webextension11.xml" ContentType="application/vnd.ms-office.webextension+xml"/>
  <Override PartName="/xl/webextensions/webextension12.xml" ContentType="application/vnd.ms-office.webextension+xml"/>
  <Override PartName="/xl/webextensions/webextension13.xml" ContentType="application/vnd.ms-office.webextension+xml"/>
  <Override PartName="/xl/webextensions/webextension14.xml" ContentType="application/vnd.ms-office.webextension+xml"/>
  <Override PartName="/xl/webextensions/webextension15.xml" ContentType="application/vnd.ms-office.webextension+xml"/>
  <Override PartName="/xl/webextensions/webextension16.xml" ContentType="application/vnd.ms-office.webextension+xml"/>
  <Override PartName="/xl/webextensions/webextension17.xml" ContentType="application/vnd.ms-office.webextension+xml"/>
  <Override PartName="/xl/webextensions/webextension18.xml" ContentType="application/vnd.ms-office.webextension+xml"/>
  <Override PartName="/xl/webextensions/webextension19.xml" ContentType="application/vnd.ms-office.webextension+xml"/>
  <Override PartName="/xl/webextensions/webextension20.xml" ContentType="application/vnd.ms-office.webextension+xml"/>
  <Override PartName="/xl/webextensions/webextension21.xml" ContentType="application/vnd.ms-office.webextension+xml"/>
  <Override PartName="/xl/webextensions/webextension22.xml" ContentType="application/vnd.ms-office.webextension+xml"/>
  <Override PartName="/xl/webextensions/webextension23.xml" ContentType="application/vnd.ms-office.webextension+xml"/>
  <Override PartName="/xl/webextensions/webextension24.xml" ContentType="application/vnd.ms-office.webextension+xml"/>
  <Override PartName="/xl/webextensions/webextension25.xml" ContentType="application/vnd.ms-office.webextension+xml"/>
  <Override PartName="/xl/webextensions/webextension26.xml" ContentType="application/vnd.ms-office.webextension+xml"/>
  <Override PartName="/xl/webextensions/webextension27.xml" ContentType="application/vnd.ms-office.webextension+xml"/>
  <Override PartName="/xl/webextensions/webextension28.xml" ContentType="application/vnd.ms-office.webextension+xml"/>
  <Override PartName="/xl/webextensions/webextension29.xml" ContentType="application/vnd.ms-office.webextension+xml"/>
  <Override PartName="/xl/webextensions/webextension30.xml" ContentType="application/vnd.ms-office.webextension+xml"/>
  <Override PartName="/xl/webextensions/webextension31.xml" ContentType="application/vnd.ms-office.webextension+xml"/>
  <Override PartName="/xl/webextensions/webextension32.xml" ContentType="application/vnd.ms-office.webextension+xml"/>
  <Override PartName="/xl/webextensions/webextension33.xml" ContentType="application/vnd.ms-office.webextension+xml"/>
  <Override PartName="/xl/webextensions/webextension34.xml" ContentType="application/vnd.ms-office.webextension+xml"/>
  <Override PartName="/xl/webextensions/webextension35.xml" ContentType="application/vnd.ms-office.webextension+xml"/>
  <Override PartName="/xl/webextensions/webextension36.xml" ContentType="application/vnd.ms-office.webextension+xml"/>
  <Override PartName="/xl/webextensions/webextension37.xml" ContentType="application/vnd.ms-office.webextension+xml"/>
  <Override PartName="/xl/webextensions/webextension38.xml" ContentType="application/vnd.ms-office.webextension+xml"/>
  <Override PartName="/xl/webextensions/webextension39.xml" ContentType="application/vnd.ms-office.webextension+xml"/>
  <Override PartName="/xl/webextensions/webextension40.xml" ContentType="application/vnd.ms-office.webextension+xml"/>
  <Override PartName="/xl/webextensions/webextension41.xml" ContentType="application/vnd.ms-office.webextension+xml"/>
  <Override PartName="/xl/webextensions/webextension42.xml" ContentType="application/vnd.ms-office.webextension+xml"/>
  <Override PartName="/xl/webextensions/webextension43.xml" ContentType="application/vnd.ms-office.webextension+xml"/>
  <Override PartName="/xl/webextensions/webextension44.xml" ContentType="application/vnd.ms-office.webextension+xml"/>
  <Override PartName="/xl/webextensions/webextension45.xml" ContentType="application/vnd.ms-office.webextension+xml"/>
  <Override PartName="/xl/webextensions/webextension46.xml" ContentType="application/vnd.ms-office.webextension+xml"/>
  <Override PartName="/xl/webextensions/webextension47.xml" ContentType="application/vnd.ms-office.webextension+xml"/>
  <Override PartName="/xl/webextensions/webextension48.xml" ContentType="application/vnd.ms-office.webextension+xml"/>
  <Override PartName="/xl/webextensions/webextension49.xml" ContentType="application/vnd.ms-office.webextension+xml"/>
  <Override PartName="/xl/webextensions/webextension50.xml" ContentType="application/vnd.ms-office.webextension+xml"/>
  <Override PartName="/xl/webextensions/webextension51.xml" ContentType="application/vnd.ms-office.webextension+xml"/>
  <Override PartName="/xl/webextensions/webextension52.xml" ContentType="application/vnd.ms-office.webextension+xml"/>
  <Override PartName="/xl/webextensions/webextension53.xml" ContentType="application/vnd.ms-office.webextension+xml"/>
  <Override PartName="/xl/webextensions/webextension54.xml" ContentType="application/vnd.ms-office.webextension+xml"/>
  <Override PartName="/xl/webextensions/webextension55.xml" ContentType="application/vnd.ms-office.webextension+xml"/>
  <Override PartName="/xl/webextensions/webextension56.xml" ContentType="application/vnd.ms-office.webextension+xml"/>
  <Override PartName="/xl/webextensions/webextension57.xml" ContentType="application/vnd.ms-office.webextension+xml"/>
  <Override PartName="/xl/webextensions/webextension58.xml" ContentType="application/vnd.ms-office.webextension+xml"/>
  <Override PartName="/xl/webextensions/webextension59.xml" ContentType="application/vnd.ms-office.webextension+xml"/>
  <Override PartName="/xl/webextensions/webextension60.xml" ContentType="application/vnd.ms-office.webextension+xml"/>
  <Override PartName="/xl/webextensions/webextension61.xml" ContentType="application/vnd.ms-office.webextension+xml"/>
  <Override PartName="/xl/webextensions/webextension62.xml" ContentType="application/vnd.ms-office.webextension+xml"/>
  <Override PartName="/xl/webextensions/webextension63.xml" ContentType="application/vnd.ms-office.webextension+xml"/>
  <Override PartName="/xl/webextensions/webextension64.xml" ContentType="application/vnd.ms-office.webextension+xml"/>
  <Override PartName="/xl/webextensions/webextension65.xml" ContentType="application/vnd.ms-office.webextension+xml"/>
  <Override PartName="/xl/webextensions/webextension66.xml" ContentType="application/vnd.ms-office.webextension+xml"/>
  <Override PartName="/xl/webextensions/webextension67.xml" ContentType="application/vnd.ms-office.webextension+xml"/>
  <Override PartName="/xl/webextensions/webextension68.xml" ContentType="application/vnd.ms-office.webextension+xml"/>
  <Override PartName="/xl/webextensions/webextension69.xml" ContentType="application/vnd.ms-office.webextension+xml"/>
  <Override PartName="/xl/webextensions/webextension70.xml" ContentType="application/vnd.ms-office.webextension+xml"/>
  <Override PartName="/xl/webextensions/webextension71.xml" ContentType="application/vnd.ms-office.webextension+xml"/>
  <Override PartName="/xl/webextensions/webextension72.xml" ContentType="application/vnd.ms-office.webextension+xml"/>
  <Override PartName="/xl/webextensions/webextension73.xml" ContentType="application/vnd.ms-office.webextension+xml"/>
  <Override PartName="/xl/webextensions/webextension74.xml" ContentType="application/vnd.ms-office.webextension+xml"/>
  <Override PartName="/xl/webextensions/webextension75.xml" ContentType="application/vnd.ms-office.webextension+xml"/>
  <Override PartName="/xl/webextensions/webextension76.xml" ContentType="application/vnd.ms-office.webextension+xml"/>
  <Override PartName="/xl/webextensions/webextension77.xml" ContentType="application/vnd.ms-office.webextension+xml"/>
  <Override PartName="/xl/webextensions/webextension78.xml" ContentType="application/vnd.ms-office.webextension+xml"/>
  <Override PartName="/xl/webextensions/webextension79.xml" ContentType="application/vnd.ms-office.webextension+xml"/>
  <Override PartName="/xl/webextensions/webextension80.xml" ContentType="application/vnd.ms-office.webextension+xml"/>
  <Override PartName="/xl/webextensions/webextension81.xml" ContentType="application/vnd.ms-office.webextension+xml"/>
  <Override PartName="/xl/webextensions/webextension82.xml" ContentType="application/vnd.ms-office.webextension+xml"/>
  <Override PartName="/xl/webextensions/webextension83.xml" ContentType="application/vnd.ms-office.webextension+xml"/>
  <Override PartName="/xl/webextensions/webextension84.xml" ContentType="application/vnd.ms-office.webextension+xml"/>
  <Override PartName="/xl/webextensions/webextension85.xml" ContentType="application/vnd.ms-office.webextension+xml"/>
  <Override PartName="/xl/webextensions/webextension86.xml" ContentType="application/vnd.ms-office.webextension+xml"/>
  <Override PartName="/xl/webextensions/webextension87.xml" ContentType="application/vnd.ms-office.webextension+xml"/>
  <Override PartName="/xl/webextensions/webextension88.xml" ContentType="application/vnd.ms-office.webextension+xml"/>
  <Override PartName="/xl/webextensions/webextension89.xml" ContentType="application/vnd.ms-office.webextension+xml"/>
  <Override PartName="/xl/webextensions/webextension90.xml" ContentType="application/vnd.ms-office.webextension+xml"/>
  <Override PartName="/xl/webextensions/webextension91.xml" ContentType="application/vnd.ms-office.webextension+xml"/>
  <Override PartName="/xl/webextensions/webextension92.xml" ContentType="application/vnd.ms-office.webextension+xml"/>
  <Override PartName="/xl/webextensions/webextension93.xml" ContentType="application/vnd.ms-office.webextension+xml"/>
  <Override PartName="/xl/webextensions/webextension94.xml" ContentType="application/vnd.ms-office.webextension+xml"/>
  <Override PartName="/xl/webextensions/webextension95.xml" ContentType="application/vnd.ms-office.webextension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webextensions/webextension96.xml" ContentType="application/vnd.ms-office.webextension+xml"/>
  <Override PartName="/xl/webextensions/webextension97.xml" ContentType="application/vnd.ms-office.webextension+xml"/>
  <Override PartName="/xl/webextensions/webextension98.xml" ContentType="application/vnd.ms-office.webextension+xml"/>
  <Override PartName="/xl/webextensions/webextension99.xml" ContentType="application/vnd.ms-office.webextension+xml"/>
  <Override PartName="/xl/webextensions/webextension100.xml" ContentType="application/vnd.ms-office.webextension+xml"/>
  <Override PartName="/xl/webextensions/webextension101.xml" ContentType="application/vnd.ms-office.webextension+xml"/>
  <Override PartName="/xl/webextensions/webextension102.xml" ContentType="application/vnd.ms-office.webextension+xml"/>
  <Override PartName="/xl/webextensions/webextension103.xml" ContentType="application/vnd.ms-office.webextension+xml"/>
  <Override PartName="/xl/webextensions/webextension104.xml" ContentType="application/vnd.ms-office.webextension+xml"/>
  <Override PartName="/xl/webextensions/webextension105.xml" ContentType="application/vnd.ms-office.webextension+xml"/>
  <Override PartName="/xl/webextensions/webextension106.xml" ContentType="application/vnd.ms-office.webextension+xml"/>
  <Override PartName="/xl/webextensions/webextension107.xml" ContentType="application/vnd.ms-office.webextension+xml"/>
  <Override PartName="/xl/webextensions/webextension108.xml" ContentType="application/vnd.ms-office.webextension+xml"/>
  <Override PartName="/xl/webextensions/webextension109.xml" ContentType="application/vnd.ms-office.webextension+xml"/>
  <Override PartName="/xl/webextensions/webextension110.xml" ContentType="application/vnd.ms-office.webextension+xml"/>
  <Override PartName="/xl/webextensions/webextension111.xml" ContentType="application/vnd.ms-office.webextension+xml"/>
  <Override PartName="/xl/webextensions/webextension112.xml" ContentType="application/vnd.ms-office.webextension+xml"/>
  <Override PartName="/xl/webextensions/webextension113.xml" ContentType="application/vnd.ms-office.webextension+xml"/>
  <Override PartName="/xl/webextensions/webextension114.xml" ContentType="application/vnd.ms-office.webextension+xml"/>
  <Override PartName="/xl/webextensions/webextension115.xml" ContentType="application/vnd.ms-office.webextension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228" codeName="{26A90621-87C4-6C01-FD6A-EE6E7C140903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Analista Datos\Documents\"/>
    </mc:Choice>
  </mc:AlternateContent>
  <xr:revisionPtr revIDLastSave="0" documentId="13_ncr:1_{D1083FBA-0160-46A2-9EEA-0A0531D6868E}" xr6:coauthVersionLast="47" xr6:coauthVersionMax="47" xr10:uidLastSave="{00000000-0000-0000-0000-000000000000}"/>
  <bookViews>
    <workbookView xWindow="-108" yWindow="-108" windowWidth="23256" windowHeight="12456" tabRatio="602" xr2:uid="{00000000-000D-0000-FFFF-FFFF00000000}"/>
  </bookViews>
  <sheets>
    <sheet name="Principal" sheetId="1" r:id="rId1"/>
    <sheet name="Asis. Cot IP" sheetId="2" r:id="rId2"/>
    <sheet name="Tareas" sheetId="3" r:id="rId3"/>
    <sheet name="Evaluaciones" sheetId="4" r:id="rId4"/>
    <sheet name="Proyectos" sheetId="5" r:id="rId5"/>
    <sheet name="Portafolio" sheetId="12" r:id="rId6"/>
    <sheet name="Asis. Cot. IIP" sheetId="18" r:id="rId7"/>
    <sheet name="Indicadores" sheetId="7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K27" i="2" l="1"/>
  <c r="FC27" i="2"/>
  <c r="EU27" i="2"/>
  <c r="EM27" i="2"/>
  <c r="EE27" i="2"/>
  <c r="DW27" i="2"/>
  <c r="DO27" i="2"/>
  <c r="DG27" i="2"/>
  <c r="CY27" i="2"/>
  <c r="CQ27" i="2"/>
  <c r="CI27" i="2"/>
  <c r="BS27" i="2"/>
  <c r="BK27" i="2"/>
  <c r="BC27" i="2"/>
  <c r="AU27" i="2"/>
  <c r="AM27" i="2"/>
  <c r="AE27" i="2"/>
  <c r="W27" i="2"/>
  <c r="O27" i="2"/>
  <c r="H27" i="2"/>
  <c r="E27" i="2" s="1"/>
  <c r="G27" i="2"/>
  <c r="F27" i="2"/>
  <c r="FK26" i="2"/>
  <c r="FC26" i="2"/>
  <c r="EU26" i="2"/>
  <c r="EM26" i="2"/>
  <c r="EE26" i="2"/>
  <c r="DW26" i="2"/>
  <c r="DO26" i="2"/>
  <c r="DG26" i="2"/>
  <c r="CY26" i="2"/>
  <c r="CQ26" i="2"/>
  <c r="CI26" i="2"/>
  <c r="CA26" i="2"/>
  <c r="BS26" i="2"/>
  <c r="BK26" i="2"/>
  <c r="BC26" i="2"/>
  <c r="AU26" i="2"/>
  <c r="AM26" i="2"/>
  <c r="AE26" i="2"/>
  <c r="W26" i="2"/>
  <c r="O26" i="2"/>
  <c r="H26" i="2"/>
  <c r="E26" i="2" s="1"/>
  <c r="G26" i="2"/>
  <c r="F26" i="2"/>
  <c r="FK25" i="2"/>
  <c r="FC25" i="2"/>
  <c r="EU25" i="2"/>
  <c r="EM25" i="2"/>
  <c r="EE25" i="2"/>
  <c r="DW25" i="2"/>
  <c r="DO25" i="2"/>
  <c r="DG25" i="2"/>
  <c r="CY25" i="2"/>
  <c r="CQ25" i="2"/>
  <c r="CI25" i="2"/>
  <c r="CA25" i="2"/>
  <c r="BS25" i="2"/>
  <c r="BK25" i="2"/>
  <c r="BC25" i="2"/>
  <c r="AU25" i="2"/>
  <c r="AM25" i="2"/>
  <c r="AE25" i="2"/>
  <c r="W25" i="2"/>
  <c r="O25" i="2"/>
  <c r="H25" i="2"/>
  <c r="E25" i="2" s="1"/>
  <c r="G25" i="2"/>
  <c r="F25" i="2"/>
  <c r="FK24" i="2"/>
  <c r="FC24" i="2"/>
  <c r="EU24" i="2"/>
  <c r="EM24" i="2"/>
  <c r="EE24" i="2"/>
  <c r="DW24" i="2"/>
  <c r="DO24" i="2"/>
  <c r="DG24" i="2"/>
  <c r="CY24" i="2"/>
  <c r="CQ24" i="2"/>
  <c r="CI24" i="2"/>
  <c r="CA24" i="2"/>
  <c r="BS24" i="2"/>
  <c r="BK24" i="2"/>
  <c r="BC24" i="2"/>
  <c r="AU24" i="2"/>
  <c r="AM24" i="2"/>
  <c r="AE24" i="2"/>
  <c r="W24" i="2"/>
  <c r="O24" i="2"/>
  <c r="H24" i="2"/>
  <c r="E24" i="2" s="1"/>
  <c r="G24" i="2"/>
  <c r="F24" i="2"/>
  <c r="FK23" i="2"/>
  <c r="FC23" i="2"/>
  <c r="EU23" i="2"/>
  <c r="EM23" i="2"/>
  <c r="EE23" i="2"/>
  <c r="DW23" i="2"/>
  <c r="DO23" i="2"/>
  <c r="DG23" i="2"/>
  <c r="CY23" i="2"/>
  <c r="CQ23" i="2"/>
  <c r="CI23" i="2"/>
  <c r="CA23" i="2"/>
  <c r="BS23" i="2"/>
  <c r="BK23" i="2"/>
  <c r="BC23" i="2"/>
  <c r="AU23" i="2"/>
  <c r="AM23" i="2"/>
  <c r="AE23" i="2"/>
  <c r="W23" i="2"/>
  <c r="O23" i="2"/>
  <c r="H23" i="2"/>
  <c r="E23" i="2" s="1"/>
  <c r="G23" i="2"/>
  <c r="F23" i="2"/>
  <c r="FK22" i="2"/>
  <c r="FC22" i="2"/>
  <c r="EU22" i="2"/>
  <c r="EM22" i="2"/>
  <c r="EE22" i="2"/>
  <c r="DW22" i="2"/>
  <c r="DO22" i="2"/>
  <c r="DG22" i="2"/>
  <c r="CY22" i="2"/>
  <c r="CQ22" i="2"/>
  <c r="CI22" i="2"/>
  <c r="CA22" i="2"/>
  <c r="BS22" i="2"/>
  <c r="BK22" i="2"/>
  <c r="BC22" i="2"/>
  <c r="AU22" i="2"/>
  <c r="AM22" i="2"/>
  <c r="AE22" i="2"/>
  <c r="W22" i="2"/>
  <c r="O22" i="2"/>
  <c r="H22" i="2"/>
  <c r="E22" i="2" s="1"/>
  <c r="G22" i="2"/>
  <c r="F22" i="2"/>
  <c r="FK21" i="2"/>
  <c r="FC21" i="2"/>
  <c r="EU21" i="2"/>
  <c r="EM21" i="2"/>
  <c r="EE21" i="2"/>
  <c r="DW21" i="2"/>
  <c r="DO21" i="2"/>
  <c r="DG21" i="2"/>
  <c r="CY21" i="2"/>
  <c r="CQ21" i="2"/>
  <c r="CI21" i="2"/>
  <c r="CA21" i="2"/>
  <c r="BS21" i="2"/>
  <c r="BK21" i="2"/>
  <c r="BC21" i="2"/>
  <c r="AU21" i="2"/>
  <c r="AM21" i="2"/>
  <c r="AE21" i="2"/>
  <c r="W21" i="2"/>
  <c r="O21" i="2"/>
  <c r="H21" i="2"/>
  <c r="E21" i="2" s="1"/>
  <c r="G21" i="2"/>
  <c r="F21" i="2"/>
  <c r="FK20" i="2"/>
  <c r="FC20" i="2"/>
  <c r="EU20" i="2"/>
  <c r="EM20" i="2"/>
  <c r="EE20" i="2"/>
  <c r="DW20" i="2"/>
  <c r="DO20" i="2"/>
  <c r="DG20" i="2"/>
  <c r="CY20" i="2"/>
  <c r="CQ20" i="2"/>
  <c r="CI20" i="2"/>
  <c r="CA20" i="2"/>
  <c r="BS20" i="2"/>
  <c r="BK20" i="2"/>
  <c r="BC20" i="2"/>
  <c r="AU20" i="2"/>
  <c r="AM20" i="2"/>
  <c r="AE20" i="2"/>
  <c r="W20" i="2"/>
  <c r="O20" i="2"/>
  <c r="H20" i="2"/>
  <c r="E20" i="2" s="1"/>
  <c r="G20" i="2"/>
  <c r="F20" i="2"/>
  <c r="FK19" i="2"/>
  <c r="FC19" i="2"/>
  <c r="EU19" i="2"/>
  <c r="EM19" i="2"/>
  <c r="EE19" i="2"/>
  <c r="DW19" i="2"/>
  <c r="DO19" i="2"/>
  <c r="DG19" i="2"/>
  <c r="CY19" i="2"/>
  <c r="CQ19" i="2"/>
  <c r="CI19" i="2"/>
  <c r="CA19" i="2"/>
  <c r="BS19" i="2"/>
  <c r="BK19" i="2"/>
  <c r="BC19" i="2"/>
  <c r="AU19" i="2"/>
  <c r="AM19" i="2"/>
  <c r="AE19" i="2"/>
  <c r="W19" i="2"/>
  <c r="O19" i="2"/>
  <c r="H19" i="2"/>
  <c r="E19" i="2" s="1"/>
  <c r="G19" i="2"/>
  <c r="F19" i="2"/>
  <c r="FK18" i="2"/>
  <c r="FC18" i="2"/>
  <c r="EU18" i="2"/>
  <c r="EM18" i="2"/>
  <c r="EE18" i="2"/>
  <c r="DW18" i="2"/>
  <c r="DO18" i="2"/>
  <c r="DG18" i="2"/>
  <c r="CY18" i="2"/>
  <c r="CQ18" i="2"/>
  <c r="CI18" i="2"/>
  <c r="CA18" i="2"/>
  <c r="BS18" i="2"/>
  <c r="BK18" i="2"/>
  <c r="BC18" i="2"/>
  <c r="AU18" i="2"/>
  <c r="AM18" i="2"/>
  <c r="AE18" i="2"/>
  <c r="W18" i="2"/>
  <c r="O18" i="2"/>
  <c r="H18" i="2"/>
  <c r="E18" i="2" s="1"/>
  <c r="G18" i="2"/>
  <c r="F18" i="2"/>
  <c r="FK17" i="2"/>
  <c r="FC17" i="2"/>
  <c r="EU17" i="2"/>
  <c r="EM17" i="2"/>
  <c r="EE17" i="2"/>
  <c r="DW17" i="2"/>
  <c r="DO17" i="2"/>
  <c r="DG17" i="2"/>
  <c r="CY17" i="2"/>
  <c r="CQ17" i="2"/>
  <c r="CI17" i="2"/>
  <c r="CA17" i="2"/>
  <c r="BS17" i="2"/>
  <c r="BK17" i="2"/>
  <c r="BC17" i="2"/>
  <c r="AU17" i="2"/>
  <c r="AM17" i="2"/>
  <c r="AE17" i="2"/>
  <c r="W17" i="2"/>
  <c r="O17" i="2"/>
  <c r="H17" i="2"/>
  <c r="E17" i="2" s="1"/>
  <c r="G17" i="2"/>
  <c r="F17" i="2"/>
  <c r="FK16" i="2"/>
  <c r="FC16" i="2"/>
  <c r="EU16" i="2"/>
  <c r="EM16" i="2"/>
  <c r="EE16" i="2"/>
  <c r="DW16" i="2"/>
  <c r="DO16" i="2"/>
  <c r="DG16" i="2"/>
  <c r="CY16" i="2"/>
  <c r="CQ16" i="2"/>
  <c r="CI16" i="2"/>
  <c r="CA16" i="2"/>
  <c r="BS16" i="2"/>
  <c r="BK16" i="2"/>
  <c r="BC16" i="2"/>
  <c r="AU16" i="2"/>
  <c r="AM16" i="2"/>
  <c r="AE16" i="2"/>
  <c r="W16" i="2"/>
  <c r="O16" i="2"/>
  <c r="H16" i="2"/>
  <c r="E16" i="2" s="1"/>
  <c r="G16" i="2"/>
  <c r="F16" i="2"/>
  <c r="FK15" i="2"/>
  <c r="FC15" i="2"/>
  <c r="EU15" i="2"/>
  <c r="EM15" i="2"/>
  <c r="EE15" i="2"/>
  <c r="DW15" i="2"/>
  <c r="DO15" i="2"/>
  <c r="DG15" i="2"/>
  <c r="CY15" i="2"/>
  <c r="CQ15" i="2"/>
  <c r="CI15" i="2"/>
  <c r="CA15" i="2"/>
  <c r="BS15" i="2"/>
  <c r="BK15" i="2"/>
  <c r="BC15" i="2"/>
  <c r="AU15" i="2"/>
  <c r="AM15" i="2"/>
  <c r="AE15" i="2"/>
  <c r="W15" i="2"/>
  <c r="O15" i="2"/>
  <c r="H15" i="2"/>
  <c r="E15" i="2" s="1"/>
  <c r="G15" i="2"/>
  <c r="F15" i="2"/>
  <c r="FK14" i="2"/>
  <c r="FC14" i="2"/>
  <c r="EU14" i="2"/>
  <c r="EM14" i="2"/>
  <c r="EE14" i="2"/>
  <c r="DW14" i="2"/>
  <c r="DO14" i="2"/>
  <c r="DG14" i="2"/>
  <c r="CY14" i="2"/>
  <c r="CQ14" i="2"/>
  <c r="CI14" i="2"/>
  <c r="CA14" i="2"/>
  <c r="BS14" i="2"/>
  <c r="BK14" i="2"/>
  <c r="BC14" i="2"/>
  <c r="AU14" i="2"/>
  <c r="AM14" i="2"/>
  <c r="AE14" i="2"/>
  <c r="W14" i="2"/>
  <c r="O14" i="2"/>
  <c r="H14" i="2"/>
  <c r="E14" i="2" s="1"/>
  <c r="G14" i="2"/>
  <c r="F14" i="2"/>
  <c r="FK13" i="2"/>
  <c r="FC13" i="2"/>
  <c r="EU13" i="2"/>
  <c r="EM13" i="2"/>
  <c r="EE13" i="2"/>
  <c r="DW13" i="2"/>
  <c r="DO13" i="2"/>
  <c r="DG13" i="2"/>
  <c r="CY13" i="2"/>
  <c r="CQ13" i="2"/>
  <c r="CI13" i="2"/>
  <c r="CA13" i="2"/>
  <c r="BS13" i="2"/>
  <c r="BK13" i="2"/>
  <c r="BC13" i="2"/>
  <c r="AU13" i="2"/>
  <c r="AM13" i="2"/>
  <c r="AE13" i="2"/>
  <c r="W13" i="2"/>
  <c r="O13" i="2"/>
  <c r="H13" i="2"/>
  <c r="E13" i="2" s="1"/>
  <c r="G13" i="2"/>
  <c r="F13" i="2"/>
  <c r="A8" i="2"/>
  <c r="F27" i="18"/>
  <c r="G27" i="18"/>
  <c r="H27" i="18"/>
  <c r="E27" i="18" s="1"/>
  <c r="O27" i="18"/>
  <c r="W27" i="18"/>
  <c r="AE27" i="18"/>
  <c r="AM27" i="18"/>
  <c r="AU27" i="18"/>
  <c r="BC27" i="18"/>
  <c r="BK27" i="18"/>
  <c r="BS27" i="18"/>
  <c r="CA27" i="18"/>
  <c r="CI27" i="18"/>
  <c r="CQ27" i="18"/>
  <c r="CY27" i="18"/>
  <c r="DG27" i="18"/>
  <c r="DO27" i="18"/>
  <c r="DW27" i="18"/>
  <c r="EE27" i="18"/>
  <c r="EM27" i="18"/>
  <c r="EU27" i="18"/>
  <c r="FC27" i="18"/>
  <c r="FK27" i="18"/>
  <c r="F26" i="18"/>
  <c r="G26" i="18"/>
  <c r="H26" i="18"/>
  <c r="E26" i="18" s="1"/>
  <c r="O26" i="18"/>
  <c r="W26" i="18"/>
  <c r="AE26" i="18"/>
  <c r="AM26" i="18"/>
  <c r="AU26" i="18"/>
  <c r="BC26" i="18"/>
  <c r="BK26" i="18"/>
  <c r="BS26" i="18"/>
  <c r="CA26" i="18"/>
  <c r="CI26" i="18"/>
  <c r="CQ26" i="18"/>
  <c r="CY26" i="18"/>
  <c r="DG26" i="18"/>
  <c r="DO26" i="18"/>
  <c r="DW26" i="18"/>
  <c r="EE26" i="18"/>
  <c r="EM26" i="18"/>
  <c r="EU26" i="18"/>
  <c r="FC26" i="18"/>
  <c r="FK26" i="18"/>
  <c r="F25" i="18"/>
  <c r="G25" i="18"/>
  <c r="H25" i="18"/>
  <c r="E25" i="18" s="1"/>
  <c r="O25" i="18"/>
  <c r="W25" i="18"/>
  <c r="AE25" i="18"/>
  <c r="AM25" i="18"/>
  <c r="AU25" i="18"/>
  <c r="BC25" i="18"/>
  <c r="BK25" i="18"/>
  <c r="BS25" i="18"/>
  <c r="CA25" i="18"/>
  <c r="CI25" i="18"/>
  <c r="CQ25" i="18"/>
  <c r="CY25" i="18"/>
  <c r="DG25" i="18"/>
  <c r="DO25" i="18"/>
  <c r="DW25" i="18"/>
  <c r="EE25" i="18"/>
  <c r="EM25" i="18"/>
  <c r="EU25" i="18"/>
  <c r="FC25" i="18"/>
  <c r="FK25" i="18"/>
  <c r="F24" i="18"/>
  <c r="G24" i="18"/>
  <c r="H24" i="18"/>
  <c r="E24" i="18" s="1"/>
  <c r="O24" i="18"/>
  <c r="W24" i="18"/>
  <c r="AE24" i="18"/>
  <c r="AM24" i="18"/>
  <c r="AU24" i="18"/>
  <c r="BC24" i="18"/>
  <c r="BK24" i="18"/>
  <c r="BS24" i="18"/>
  <c r="CA24" i="18"/>
  <c r="CI24" i="18"/>
  <c r="CQ24" i="18"/>
  <c r="CY24" i="18"/>
  <c r="DG24" i="18"/>
  <c r="DO24" i="18"/>
  <c r="DW24" i="18"/>
  <c r="EE24" i="18"/>
  <c r="EM24" i="18"/>
  <c r="EU24" i="18"/>
  <c r="FC24" i="18"/>
  <c r="FK24" i="18"/>
  <c r="F23" i="18"/>
  <c r="G23" i="18"/>
  <c r="H23" i="18"/>
  <c r="E23" i="18" s="1"/>
  <c r="O23" i="18"/>
  <c r="W23" i="18"/>
  <c r="AE23" i="18"/>
  <c r="AM23" i="18"/>
  <c r="AU23" i="18"/>
  <c r="BC23" i="18"/>
  <c r="BK23" i="18"/>
  <c r="BS23" i="18"/>
  <c r="CA23" i="18"/>
  <c r="CI23" i="18"/>
  <c r="CQ23" i="18"/>
  <c r="CY23" i="18"/>
  <c r="DG23" i="18"/>
  <c r="DO23" i="18"/>
  <c r="DW23" i="18"/>
  <c r="EE23" i="18"/>
  <c r="EM23" i="18"/>
  <c r="EU23" i="18"/>
  <c r="FC23" i="18"/>
  <c r="FK23" i="18"/>
  <c r="F22" i="18"/>
  <c r="G22" i="18"/>
  <c r="H22" i="18"/>
  <c r="E22" i="18" s="1"/>
  <c r="O22" i="18"/>
  <c r="W22" i="18"/>
  <c r="AE22" i="18"/>
  <c r="AM22" i="18"/>
  <c r="AU22" i="18"/>
  <c r="BC22" i="18"/>
  <c r="BK22" i="18"/>
  <c r="BS22" i="18"/>
  <c r="CA22" i="18"/>
  <c r="CI22" i="18"/>
  <c r="CQ22" i="18"/>
  <c r="CY22" i="18"/>
  <c r="DG22" i="18"/>
  <c r="DO22" i="18"/>
  <c r="DW22" i="18"/>
  <c r="EE22" i="18"/>
  <c r="EM22" i="18"/>
  <c r="EU22" i="18"/>
  <c r="FC22" i="18"/>
  <c r="FK22" i="18"/>
  <c r="F21" i="18"/>
  <c r="G21" i="18"/>
  <c r="H21" i="18"/>
  <c r="E21" i="18" s="1"/>
  <c r="O21" i="18"/>
  <c r="W21" i="18"/>
  <c r="AE21" i="18"/>
  <c r="AM21" i="18"/>
  <c r="AU21" i="18"/>
  <c r="BC21" i="18"/>
  <c r="BK21" i="18"/>
  <c r="BS21" i="18"/>
  <c r="CA21" i="18"/>
  <c r="CI21" i="18"/>
  <c r="CQ21" i="18"/>
  <c r="CY21" i="18"/>
  <c r="DG21" i="18"/>
  <c r="DO21" i="18"/>
  <c r="DW21" i="18"/>
  <c r="EE21" i="18"/>
  <c r="EM21" i="18"/>
  <c r="EU21" i="18"/>
  <c r="FC21" i="18"/>
  <c r="FK21" i="18"/>
  <c r="F20" i="18"/>
  <c r="G20" i="18"/>
  <c r="H20" i="18"/>
  <c r="E20" i="18" s="1"/>
  <c r="O20" i="18"/>
  <c r="W20" i="18"/>
  <c r="AE20" i="18"/>
  <c r="AM20" i="18"/>
  <c r="AU20" i="18"/>
  <c r="BC20" i="18"/>
  <c r="BK20" i="18"/>
  <c r="BS20" i="18"/>
  <c r="CA20" i="18"/>
  <c r="CI20" i="18"/>
  <c r="CQ20" i="18"/>
  <c r="CY20" i="18"/>
  <c r="DG20" i="18"/>
  <c r="DO20" i="18"/>
  <c r="DW20" i="18"/>
  <c r="EE20" i="18"/>
  <c r="EM20" i="18"/>
  <c r="EU20" i="18"/>
  <c r="FC20" i="18"/>
  <c r="FK20" i="18"/>
  <c r="F19" i="18"/>
  <c r="G19" i="18"/>
  <c r="H19" i="18"/>
  <c r="E19" i="18" s="1"/>
  <c r="O19" i="18"/>
  <c r="W19" i="18"/>
  <c r="AE19" i="18"/>
  <c r="AM19" i="18"/>
  <c r="AU19" i="18"/>
  <c r="BC19" i="18"/>
  <c r="BK19" i="18"/>
  <c r="BS19" i="18"/>
  <c r="CA19" i="18"/>
  <c r="CI19" i="18"/>
  <c r="CQ19" i="18"/>
  <c r="CY19" i="18"/>
  <c r="DG19" i="18"/>
  <c r="DO19" i="18"/>
  <c r="DW19" i="18"/>
  <c r="EE19" i="18"/>
  <c r="EM19" i="18"/>
  <c r="EU19" i="18"/>
  <c r="FC19" i="18"/>
  <c r="FK19" i="18"/>
  <c r="F18" i="18"/>
  <c r="G18" i="18"/>
  <c r="H18" i="18"/>
  <c r="E18" i="18" s="1"/>
  <c r="O18" i="18"/>
  <c r="W18" i="18"/>
  <c r="AE18" i="18"/>
  <c r="AM18" i="18"/>
  <c r="AU18" i="18"/>
  <c r="BC18" i="18"/>
  <c r="BK18" i="18"/>
  <c r="BS18" i="18"/>
  <c r="CA18" i="18"/>
  <c r="CI18" i="18"/>
  <c r="CQ18" i="18"/>
  <c r="CY18" i="18"/>
  <c r="DG18" i="18"/>
  <c r="DO18" i="18"/>
  <c r="DW18" i="18"/>
  <c r="EE18" i="18"/>
  <c r="EM18" i="18"/>
  <c r="EU18" i="18"/>
  <c r="FC18" i="18"/>
  <c r="FK18" i="18"/>
  <c r="F17" i="18"/>
  <c r="G17" i="18"/>
  <c r="H17" i="18"/>
  <c r="E17" i="18" s="1"/>
  <c r="O17" i="18"/>
  <c r="W17" i="18"/>
  <c r="AE17" i="18"/>
  <c r="AM17" i="18"/>
  <c r="AU17" i="18"/>
  <c r="BC17" i="18"/>
  <c r="BK17" i="18"/>
  <c r="BS17" i="18"/>
  <c r="CA17" i="18"/>
  <c r="CI17" i="18"/>
  <c r="CQ17" i="18"/>
  <c r="CY17" i="18"/>
  <c r="DG17" i="18"/>
  <c r="DO17" i="18"/>
  <c r="DW17" i="18"/>
  <c r="EE17" i="18"/>
  <c r="EM17" i="18"/>
  <c r="EU17" i="18"/>
  <c r="FC17" i="18"/>
  <c r="FK17" i="18"/>
  <c r="F16" i="18"/>
  <c r="G16" i="18"/>
  <c r="H16" i="18"/>
  <c r="E16" i="18" s="1"/>
  <c r="O16" i="18"/>
  <c r="W16" i="18"/>
  <c r="AE16" i="18"/>
  <c r="AM16" i="18"/>
  <c r="AU16" i="18"/>
  <c r="BC16" i="18"/>
  <c r="BK16" i="18"/>
  <c r="BS16" i="18"/>
  <c r="CA16" i="18"/>
  <c r="CI16" i="18"/>
  <c r="CQ16" i="18"/>
  <c r="CY16" i="18"/>
  <c r="DG16" i="18"/>
  <c r="DO16" i="18"/>
  <c r="DW16" i="18"/>
  <c r="EE16" i="18"/>
  <c r="EM16" i="18"/>
  <c r="EU16" i="18"/>
  <c r="FC16" i="18"/>
  <c r="FK16" i="18"/>
  <c r="F15" i="18"/>
  <c r="G15" i="18"/>
  <c r="H15" i="18"/>
  <c r="E15" i="18" s="1"/>
  <c r="O15" i="18"/>
  <c r="W15" i="18"/>
  <c r="AE15" i="18"/>
  <c r="AM15" i="18"/>
  <c r="AU15" i="18"/>
  <c r="BC15" i="18"/>
  <c r="BK15" i="18"/>
  <c r="BS15" i="18"/>
  <c r="CA15" i="18"/>
  <c r="CI15" i="18"/>
  <c r="CQ15" i="18"/>
  <c r="CY15" i="18"/>
  <c r="DG15" i="18"/>
  <c r="DO15" i="18"/>
  <c r="DW15" i="18"/>
  <c r="EE15" i="18"/>
  <c r="EM15" i="18"/>
  <c r="EU15" i="18"/>
  <c r="FC15" i="18"/>
  <c r="FK15" i="18"/>
  <c r="F14" i="18"/>
  <c r="G14" i="18"/>
  <c r="H14" i="18"/>
  <c r="E14" i="18" s="1"/>
  <c r="O14" i="18"/>
  <c r="W14" i="18"/>
  <c r="AE14" i="18"/>
  <c r="AM14" i="18"/>
  <c r="AU14" i="18"/>
  <c r="BC14" i="18"/>
  <c r="BK14" i="18"/>
  <c r="BS14" i="18"/>
  <c r="CA14" i="18"/>
  <c r="CI14" i="18"/>
  <c r="CQ14" i="18"/>
  <c r="CY14" i="18"/>
  <c r="DG14" i="18"/>
  <c r="DO14" i="18"/>
  <c r="DW14" i="18"/>
  <c r="EE14" i="18"/>
  <c r="EM14" i="18"/>
  <c r="EU14" i="18"/>
  <c r="FC14" i="18"/>
  <c r="FK14" i="18"/>
  <c r="F13" i="18"/>
  <c r="G13" i="18"/>
  <c r="H13" i="18"/>
  <c r="E13" i="18" s="1"/>
  <c r="O13" i="18"/>
  <c r="W13" i="18"/>
  <c r="AE13" i="18"/>
  <c r="AM13" i="18"/>
  <c r="AU13" i="18"/>
  <c r="BC13" i="18"/>
  <c r="BK13" i="18"/>
  <c r="BS13" i="18"/>
  <c r="CA13" i="18"/>
  <c r="CI13" i="18"/>
  <c r="CQ13" i="18"/>
  <c r="CY13" i="18"/>
  <c r="DG13" i="18"/>
  <c r="DO13" i="18"/>
  <c r="DW13" i="18"/>
  <c r="EE13" i="18"/>
  <c r="EM13" i="18"/>
  <c r="EU13" i="18"/>
  <c r="FC13" i="18"/>
  <c r="FK13" i="18"/>
  <c r="H17" i="1" a="1"/>
  <c r="H17" i="1" s="1"/>
  <c r="H18" i="1" a="1"/>
  <c r="H18" i="1" s="1"/>
  <c r="H19" i="1" a="1"/>
  <c r="H19" i="1" s="1"/>
  <c r="H20" i="1" a="1"/>
  <c r="H20" i="1" s="1"/>
  <c r="H21" i="1" a="1"/>
  <c r="H21" i="1" s="1"/>
  <c r="H22" i="1" a="1"/>
  <c r="H22" i="1" s="1"/>
  <c r="H23" i="1" a="1"/>
  <c r="H23" i="1" s="1"/>
  <c r="H24" i="1" a="1"/>
  <c r="H24" i="1" s="1"/>
  <c r="H25" i="1" a="1"/>
  <c r="H25" i="1" s="1"/>
  <c r="H26" i="1" a="1"/>
  <c r="H26" i="1" s="1"/>
  <c r="H27" i="1" a="1"/>
  <c r="H27" i="1" s="1"/>
  <c r="H28" i="1" a="1"/>
  <c r="H28" i="1" s="1"/>
  <c r="H29" i="1" a="1"/>
  <c r="H29" i="1" s="1"/>
  <c r="H30" i="1" a="1"/>
  <c r="H30" i="1" s="1"/>
  <c r="H31" i="1" a="1"/>
  <c r="H31" i="1" s="1"/>
  <c r="I17" i="1" a="1"/>
  <c r="I17" i="1" s="1"/>
  <c r="I18" i="1" a="1"/>
  <c r="I18" i="1" s="1"/>
  <c r="I19" i="1" a="1"/>
  <c r="I19" i="1" s="1"/>
  <c r="I20" i="1" a="1"/>
  <c r="I20" i="1" s="1"/>
  <c r="I21" i="1" a="1"/>
  <c r="I21" i="1" s="1"/>
  <c r="I22" i="1" a="1"/>
  <c r="I22" i="1" s="1"/>
  <c r="I23" i="1" a="1"/>
  <c r="I23" i="1" s="1"/>
  <c r="I24" i="1" a="1"/>
  <c r="I24" i="1" s="1"/>
  <c r="I25" i="1" a="1"/>
  <c r="I25" i="1" s="1"/>
  <c r="I26" i="1" a="1"/>
  <c r="I26" i="1" s="1"/>
  <c r="I27" i="1" a="1"/>
  <c r="I27" i="1" s="1"/>
  <c r="I28" i="1" a="1"/>
  <c r="I28" i="1" s="1"/>
  <c r="I29" i="1" a="1"/>
  <c r="I29" i="1" s="1"/>
  <c r="I30" i="1" a="1"/>
  <c r="I30" i="1" s="1"/>
  <c r="I31" i="1" a="1"/>
  <c r="I31" i="1" s="1"/>
  <c r="O17" i="1" a="1"/>
  <c r="O17" i="1" s="1"/>
  <c r="O18" i="1" a="1"/>
  <c r="O18" i="1" s="1"/>
  <c r="O19" i="1" a="1"/>
  <c r="O19" i="1" s="1"/>
  <c r="O20" i="1" a="1"/>
  <c r="O20" i="1" s="1"/>
  <c r="O21" i="1" a="1"/>
  <c r="O21" i="1" s="1"/>
  <c r="O22" i="1" a="1"/>
  <c r="O22" i="1" s="1"/>
  <c r="O23" i="1" a="1"/>
  <c r="O23" i="1" s="1"/>
  <c r="O24" i="1" a="1"/>
  <c r="O24" i="1" s="1"/>
  <c r="O25" i="1" a="1"/>
  <c r="O25" i="1" s="1"/>
  <c r="O26" i="1" a="1"/>
  <c r="O26" i="1" s="1"/>
  <c r="O27" i="1" a="1"/>
  <c r="O27" i="1" s="1"/>
  <c r="O28" i="1" a="1"/>
  <c r="O28" i="1" s="1"/>
  <c r="O29" i="1" a="1"/>
  <c r="O29" i="1" s="1"/>
  <c r="O30" i="1" a="1"/>
  <c r="O30" i="1" s="1"/>
  <c r="O31" i="1" a="1"/>
  <c r="O31" i="1" s="1"/>
  <c r="P17" i="1" a="1"/>
  <c r="P17" i="1" s="1"/>
  <c r="P18" i="1" a="1"/>
  <c r="P18" i="1" s="1"/>
  <c r="P19" i="1" a="1"/>
  <c r="P19" i="1" s="1"/>
  <c r="P20" i="1" a="1"/>
  <c r="P20" i="1" s="1"/>
  <c r="P21" i="1" a="1"/>
  <c r="P21" i="1" s="1"/>
  <c r="P22" i="1" a="1"/>
  <c r="P22" i="1" s="1"/>
  <c r="P23" i="1" a="1"/>
  <c r="P23" i="1" s="1"/>
  <c r="P24" i="1" a="1"/>
  <c r="P24" i="1" s="1"/>
  <c r="P25" i="1" a="1"/>
  <c r="P25" i="1" s="1"/>
  <c r="P26" i="1" a="1"/>
  <c r="P26" i="1" s="1"/>
  <c r="P27" i="1" a="1"/>
  <c r="P27" i="1" s="1"/>
  <c r="P28" i="1" a="1"/>
  <c r="P28" i="1" s="1"/>
  <c r="P29" i="1" a="1"/>
  <c r="P29" i="1" s="1"/>
  <c r="P30" i="1" a="1"/>
  <c r="P30" i="1" s="1"/>
  <c r="P31" i="1" a="1"/>
  <c r="P31" i="1" s="1"/>
  <c r="FM20" i="2" l="1"/>
  <c r="FM14" i="2"/>
  <c r="FM13" i="2"/>
  <c r="FM27" i="18"/>
  <c r="FM27" i="2"/>
  <c r="FM18" i="2"/>
  <c r="FM26" i="2"/>
  <c r="FM17" i="2"/>
  <c r="FM25" i="2"/>
  <c r="FM16" i="2"/>
  <c r="FM24" i="2"/>
  <c r="FM23" i="2"/>
  <c r="FM21" i="2"/>
  <c r="FM19" i="2"/>
  <c r="FM15" i="2"/>
  <c r="FM22" i="2"/>
  <c r="FM26" i="18"/>
  <c r="FM25" i="18"/>
  <c r="FM24" i="18"/>
  <c r="FM23" i="18"/>
  <c r="FM22" i="18"/>
  <c r="FM21" i="18"/>
  <c r="FM20" i="18"/>
  <c r="FM19" i="18"/>
  <c r="FM18" i="18"/>
  <c r="FM17" i="18"/>
  <c r="FM15" i="18"/>
  <c r="FM16" i="18"/>
  <c r="FM14" i="18"/>
  <c r="FM13" i="18"/>
  <c r="E27" i="1" l="1"/>
  <c r="F24" i="1"/>
  <c r="E28" i="1"/>
  <c r="F25" i="1"/>
  <c r="E17" i="1"/>
  <c r="E29" i="1"/>
  <c r="F26" i="1"/>
  <c r="E18" i="1"/>
  <c r="E30" i="1"/>
  <c r="F27" i="1"/>
  <c r="E19" i="1"/>
  <c r="E31" i="1"/>
  <c r="F28" i="1"/>
  <c r="E20" i="1"/>
  <c r="F17" i="1"/>
  <c r="E21" i="1"/>
  <c r="F18" i="1"/>
  <c r="E22" i="1"/>
  <c r="F19" i="1"/>
  <c r="E23" i="1"/>
  <c r="F20" i="1"/>
  <c r="F29" i="1"/>
  <c r="E24" i="1"/>
  <c r="F21" i="1"/>
  <c r="F31" i="1"/>
  <c r="E25" i="1"/>
  <c r="F22" i="1"/>
  <c r="F30" i="1"/>
  <c r="E26" i="1"/>
  <c r="F23" i="1"/>
  <c r="E10" i="3"/>
  <c r="E10" i="4" l="1"/>
  <c r="D8" i="12" l="1"/>
  <c r="D12" i="5"/>
  <c r="A8" i="18"/>
  <c r="A7" i="18"/>
  <c r="B4" i="18"/>
  <c r="F2" i="1"/>
  <c r="L22" i="1" l="1"/>
  <c r="M19" i="1"/>
  <c r="M31" i="1"/>
  <c r="L23" i="1"/>
  <c r="M20" i="1"/>
  <c r="L24" i="1"/>
  <c r="M21" i="1"/>
  <c r="L25" i="1"/>
  <c r="M22" i="1"/>
  <c r="L26" i="1"/>
  <c r="M23" i="1"/>
  <c r="L27" i="1"/>
  <c r="M24" i="1"/>
  <c r="L28" i="1"/>
  <c r="M25" i="1"/>
  <c r="L17" i="1"/>
  <c r="L29" i="1"/>
  <c r="M26" i="1"/>
  <c r="L18" i="1"/>
  <c r="L30" i="1"/>
  <c r="M27" i="1"/>
  <c r="M29" i="1"/>
  <c r="L19" i="1"/>
  <c r="L31" i="1"/>
  <c r="M28" i="1"/>
  <c r="M30" i="1"/>
  <c r="L20" i="1"/>
  <c r="M17" i="1"/>
  <c r="L21" i="1"/>
  <c r="M18" i="1"/>
  <c r="J20" i="1"/>
  <c r="J21" i="1"/>
  <c r="Q18" i="1"/>
  <c r="Q30" i="1"/>
  <c r="Q20" i="1"/>
  <c r="Q21" i="1"/>
  <c r="Q22" i="1"/>
  <c r="Q23" i="1"/>
  <c r="J22" i="1"/>
  <c r="Q19" i="1"/>
  <c r="Q31" i="1"/>
  <c r="J23" i="1"/>
  <c r="J24" i="1"/>
  <c r="J25" i="1"/>
  <c r="J26" i="1"/>
  <c r="J27" i="1"/>
  <c r="J28" i="1"/>
  <c r="J17" i="1"/>
  <c r="J29" i="1"/>
  <c r="Q26" i="1"/>
  <c r="Q27" i="1"/>
  <c r="Q28" i="1"/>
  <c r="Q17" i="1"/>
  <c r="Q29" i="1"/>
  <c r="Q24" i="1"/>
  <c r="Q25" i="1"/>
  <c r="J18" i="1"/>
  <c r="J30" i="1"/>
  <c r="J19" i="1"/>
  <c r="J31" i="1"/>
  <c r="G23" i="1"/>
  <c r="N20" i="1"/>
  <c r="G24" i="1"/>
  <c r="N21" i="1"/>
  <c r="N23" i="1"/>
  <c r="N25" i="1"/>
  <c r="G25" i="1"/>
  <c r="N22" i="1"/>
  <c r="G26" i="1"/>
  <c r="G27" i="1"/>
  <c r="N24" i="1"/>
  <c r="G28" i="1"/>
  <c r="G17" i="1"/>
  <c r="G29" i="1"/>
  <c r="N26" i="1"/>
  <c r="G18" i="1"/>
  <c r="G30" i="1"/>
  <c r="G19" i="1"/>
  <c r="G31" i="1"/>
  <c r="N28" i="1"/>
  <c r="G20" i="1"/>
  <c r="N17" i="1"/>
  <c r="N29" i="1"/>
  <c r="N19" i="1"/>
  <c r="N31" i="1"/>
  <c r="N27" i="1"/>
  <c r="G21" i="1"/>
  <c r="N18" i="1"/>
  <c r="N30" i="1"/>
  <c r="G22" i="1"/>
  <c r="G8" i="1"/>
  <c r="K21" i="1" l="1"/>
  <c r="K23" i="1"/>
  <c r="K22" i="1"/>
  <c r="K20" i="1"/>
  <c r="K26" i="1"/>
  <c r="K28" i="1"/>
  <c r="K25" i="1"/>
  <c r="K24" i="1"/>
  <c r="K17" i="1"/>
  <c r="K27" i="1"/>
  <c r="K31" i="1"/>
  <c r="K19" i="1"/>
  <c r="K30" i="1"/>
  <c r="K18" i="1"/>
  <c r="K29" i="1"/>
  <c r="R24" i="1"/>
  <c r="R26" i="1"/>
  <c r="R19" i="1"/>
  <c r="R27" i="1"/>
  <c r="R20" i="1"/>
  <c r="R29" i="1"/>
  <c r="R17" i="1"/>
  <c r="R28" i="1"/>
  <c r="R22" i="1"/>
  <c r="R25" i="1"/>
  <c r="R30" i="1"/>
  <c r="R23" i="1"/>
  <c r="R18" i="1"/>
  <c r="R21" i="1"/>
  <c r="R31" i="1"/>
  <c r="S21" i="1" l="1"/>
  <c r="T21" i="1" s="1"/>
  <c r="S23" i="1"/>
  <c r="U23" i="1" s="1"/>
  <c r="V23" i="1" s="1"/>
  <c r="S22" i="1"/>
  <c r="U22" i="1" s="1"/>
  <c r="V22" i="1" s="1"/>
  <c r="S18" i="1"/>
  <c r="U18" i="1" s="1"/>
  <c r="V18" i="1" s="1"/>
  <c r="S24" i="1"/>
  <c r="T24" i="1" s="1"/>
  <c r="S26" i="1"/>
  <c r="U26" i="1" s="1"/>
  <c r="V26" i="1" s="1"/>
  <c r="S20" i="1"/>
  <c r="T20" i="1" s="1"/>
  <c r="S31" i="1"/>
  <c r="U31" i="1" s="1"/>
  <c r="V31" i="1" s="1"/>
  <c r="S19" i="1"/>
  <c r="T19" i="1" s="1"/>
  <c r="S30" i="1"/>
  <c r="U30" i="1" s="1"/>
  <c r="V30" i="1" s="1"/>
  <c r="S28" i="1"/>
  <c r="W28" i="1" s="1"/>
  <c r="S25" i="1"/>
  <c r="T25" i="1" s="1"/>
  <c r="S29" i="1"/>
  <c r="U29" i="1" s="1"/>
  <c r="V29" i="1" s="1"/>
  <c r="S17" i="1"/>
  <c r="U17" i="1" s="1"/>
  <c r="V17" i="1" s="1"/>
  <c r="S27" i="1"/>
  <c r="T27" i="1" s="1"/>
  <c r="W21" i="1" l="1"/>
  <c r="U21" i="1"/>
  <c r="V21" i="1" s="1"/>
  <c r="T23" i="1"/>
  <c r="W23" i="1"/>
  <c r="W22" i="1"/>
  <c r="T22" i="1"/>
  <c r="W30" i="1"/>
  <c r="T30" i="1"/>
  <c r="W18" i="1"/>
  <c r="U20" i="1"/>
  <c r="V20" i="1" s="1"/>
  <c r="W20" i="1"/>
  <c r="T18" i="1"/>
  <c r="U24" i="1"/>
  <c r="V24" i="1" s="1"/>
  <c r="W24" i="1" s="1"/>
  <c r="W31" i="1"/>
  <c r="T26" i="1"/>
  <c r="T29" i="1"/>
  <c r="W29" i="1"/>
  <c r="T31" i="1"/>
  <c r="W26" i="1"/>
  <c r="W25" i="1"/>
  <c r="U25" i="1"/>
  <c r="V25" i="1" s="1"/>
  <c r="U19" i="1"/>
  <c r="V19" i="1" s="1"/>
  <c r="U28" i="1"/>
  <c r="V28" i="1" s="1"/>
  <c r="T17" i="1"/>
  <c r="W17" i="1"/>
  <c r="T28" i="1"/>
  <c r="W19" i="1"/>
  <c r="W27" i="1"/>
  <c r="U27" i="1"/>
  <c r="V27" i="1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CRISTIAN Y KAROL</author>
  </authors>
  <commentList>
    <comment ref="B1" authorId="0" shapeId="0" xr:uid="{A28DCC5C-867A-4F04-96DA-A39D15935649}">
      <text>
        <r>
          <rPr>
            <sz val="9"/>
            <rFont val="Tahoma"/>
            <family val="2"/>
          </rPr>
          <t xml:space="preserve">Incluya los aprendizajes o indicadores correspondientes a la asignatura y al nivel que trabajará </t>
        </r>
        <r>
          <rPr>
            <b/>
            <sz val="9"/>
            <rFont val="Tahoma"/>
            <family val="2"/>
          </rPr>
          <t>durante el año</t>
        </r>
        <r>
          <rPr>
            <sz val="9"/>
            <rFont val="Tahoma"/>
            <family val="2"/>
          </rPr>
          <t xml:space="preserve">.
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<sst xmlns="http://schemas.openxmlformats.org/spreadsheetml/2006/main" count="1100" uniqueCount="313">
  <si>
    <t>Primer Apellido</t>
  </si>
  <si>
    <t>Segundo Apellido</t>
  </si>
  <si>
    <t>Nombre</t>
  </si>
  <si>
    <t>Cédula</t>
  </si>
  <si>
    <t>Tareas</t>
  </si>
  <si>
    <t>Evaluaciones</t>
  </si>
  <si>
    <t>Proyectos</t>
  </si>
  <si>
    <t>Cotidiano</t>
  </si>
  <si>
    <t xml:space="preserve">DIRECCIÓN EDUCAT: </t>
  </si>
  <si>
    <t>CIRCUITO EDUCAT.:</t>
  </si>
  <si>
    <t>INSTITUCIÓN:</t>
  </si>
  <si>
    <t>ASIGN/MODULO:</t>
  </si>
  <si>
    <t xml:space="preserve">DOCENTE: </t>
  </si>
  <si>
    <t>NIVEL/GRADO:</t>
  </si>
  <si>
    <t>SECC.</t>
  </si>
  <si>
    <t>DOCENTE GUÍA:</t>
  </si>
  <si>
    <t>ORIENTADOR (A):</t>
  </si>
  <si>
    <t>Aspectos a Evaluar</t>
  </si>
  <si>
    <t>Valor</t>
  </si>
  <si>
    <t>Valor %</t>
  </si>
  <si>
    <t>Suma</t>
  </si>
  <si>
    <t>Periodo</t>
  </si>
  <si>
    <t>Inicio</t>
  </si>
  <si>
    <t>Finaliza</t>
  </si>
  <si>
    <t>I semestre</t>
  </si>
  <si>
    <t>II semestre</t>
  </si>
  <si>
    <t>#</t>
  </si>
  <si>
    <t>APRENDIZAJES O INDICADORES GENERALES</t>
  </si>
  <si>
    <t>NIVELES DE DESEMPEÑO</t>
  </si>
  <si>
    <t>INICIAL</t>
  </si>
  <si>
    <t>INTERMEDIO</t>
  </si>
  <si>
    <t>AVANZADO</t>
  </si>
  <si>
    <t>INDICADORES</t>
  </si>
  <si>
    <t>Portafolio</t>
  </si>
  <si>
    <t>I Periodo</t>
  </si>
  <si>
    <t>Promedio I Periodo</t>
  </si>
  <si>
    <t>Promedio Anual</t>
  </si>
  <si>
    <t>II Periodo</t>
  </si>
  <si>
    <t>Cotidiano IP</t>
  </si>
  <si>
    <t>Asistencia IP</t>
  </si>
  <si>
    <t>Portafolio IP</t>
  </si>
  <si>
    <t>Tareas IP</t>
  </si>
  <si>
    <t>Evaluaciones IP</t>
  </si>
  <si>
    <t>Proyecto IP</t>
  </si>
  <si>
    <t>Asistencia IIP</t>
  </si>
  <si>
    <t>Cotidiano IIP</t>
  </si>
  <si>
    <t>Portafolio IIP</t>
  </si>
  <si>
    <t>Evaluaciones IIP</t>
  </si>
  <si>
    <t>Proyecto IIP</t>
  </si>
  <si>
    <t>Condición</t>
  </si>
  <si>
    <t>Promedio para aprobar =</t>
  </si>
  <si>
    <t>ASISTENCIA</t>
  </si>
  <si>
    <t>EVALUACIÓN DE COTIDIANO</t>
  </si>
  <si>
    <t>AUSENCIA INJUSTIFICADA</t>
  </si>
  <si>
    <t>ESCAPE DE LECCIONES</t>
  </si>
  <si>
    <t>LLEGADA TARDÍA</t>
  </si>
  <si>
    <t>AUSENCIA MOTIVADA</t>
  </si>
  <si>
    <t>FECHA DE MOTIVACIÓN</t>
  </si>
  <si>
    <t>Columna1</t>
  </si>
  <si>
    <t>Columna2</t>
  </si>
  <si>
    <t>Columna3</t>
  </si>
  <si>
    <t>Columna4</t>
  </si>
  <si>
    <t>Columna10</t>
  </si>
  <si>
    <t>Columna11</t>
  </si>
  <si>
    <t>INJUSTIFICADAS</t>
  </si>
  <si>
    <t>ESCAPES</t>
  </si>
  <si>
    <t>TARDIAS</t>
  </si>
  <si>
    <t>JUSTIFICADAS</t>
  </si>
  <si>
    <t>Columna12</t>
  </si>
  <si>
    <t>AJ</t>
  </si>
  <si>
    <t>Columna13</t>
  </si>
  <si>
    <t>Columna14</t>
  </si>
  <si>
    <t>Columna15</t>
  </si>
  <si>
    <t>Columna16</t>
  </si>
  <si>
    <t>Columna17</t>
  </si>
  <si>
    <t>Columna18</t>
  </si>
  <si>
    <t>Columna19</t>
  </si>
  <si>
    <t>Columna20</t>
  </si>
  <si>
    <t>Columna21</t>
  </si>
  <si>
    <t>Columna22</t>
  </si>
  <si>
    <t>Columna23</t>
  </si>
  <si>
    <t>Columna24</t>
  </si>
  <si>
    <t>Columna25</t>
  </si>
  <si>
    <t>Columna26</t>
  </si>
  <si>
    <t>Columna27</t>
  </si>
  <si>
    <t>Columna28</t>
  </si>
  <si>
    <t>Columna29</t>
  </si>
  <si>
    <t>Columna30</t>
  </si>
  <si>
    <t>Columna31</t>
  </si>
  <si>
    <t>Columna32</t>
  </si>
  <si>
    <t>Columna33</t>
  </si>
  <si>
    <t>Columna34</t>
  </si>
  <si>
    <t>Columna35</t>
  </si>
  <si>
    <t>Columna36</t>
  </si>
  <si>
    <t>Columna37</t>
  </si>
  <si>
    <t>Columna38</t>
  </si>
  <si>
    <t>Columna39</t>
  </si>
  <si>
    <t>Columna40</t>
  </si>
  <si>
    <t>Columna41</t>
  </si>
  <si>
    <t>Columna42</t>
  </si>
  <si>
    <t>Columna43</t>
  </si>
  <si>
    <t>Columna44</t>
  </si>
  <si>
    <t>Columna45</t>
  </si>
  <si>
    <t>Columna46</t>
  </si>
  <si>
    <t>Columna47</t>
  </si>
  <si>
    <t>Columna48</t>
  </si>
  <si>
    <t>Columna49</t>
  </si>
  <si>
    <t>Columna50</t>
  </si>
  <si>
    <t>Columna51</t>
  </si>
  <si>
    <t>Columna52</t>
  </si>
  <si>
    <t>Columna53</t>
  </si>
  <si>
    <t>Columna54</t>
  </si>
  <si>
    <t>Columna55</t>
  </si>
  <si>
    <t>Columna56</t>
  </si>
  <si>
    <t>Columna57</t>
  </si>
  <si>
    <t>Columna58</t>
  </si>
  <si>
    <t>Columna59</t>
  </si>
  <si>
    <t>Columna60</t>
  </si>
  <si>
    <t>Columna61</t>
  </si>
  <si>
    <t>Columna62</t>
  </si>
  <si>
    <t>Columna63</t>
  </si>
  <si>
    <t>Columna64</t>
  </si>
  <si>
    <t>Columna65</t>
  </si>
  <si>
    <t>Columna66</t>
  </si>
  <si>
    <t>Columna67</t>
  </si>
  <si>
    <t>Columna68</t>
  </si>
  <si>
    <t>Columna69</t>
  </si>
  <si>
    <t>Columna70</t>
  </si>
  <si>
    <t>Columna71</t>
  </si>
  <si>
    <t>Columna72</t>
  </si>
  <si>
    <t>Columna73</t>
  </si>
  <si>
    <t>Columna74</t>
  </si>
  <si>
    <t>Columna75</t>
  </si>
  <si>
    <t>Columna76</t>
  </si>
  <si>
    <t>Columna77</t>
  </si>
  <si>
    <t>Columna78</t>
  </si>
  <si>
    <t>Columna79</t>
  </si>
  <si>
    <t>Columna80</t>
  </si>
  <si>
    <t>Columna81</t>
  </si>
  <si>
    <t>Columna82</t>
  </si>
  <si>
    <t>Columna83</t>
  </si>
  <si>
    <t>Columna84</t>
  </si>
  <si>
    <t>Columna85</t>
  </si>
  <si>
    <t>Columna86</t>
  </si>
  <si>
    <t>Columna87</t>
  </si>
  <si>
    <t>Columna88</t>
  </si>
  <si>
    <t>Columna89</t>
  </si>
  <si>
    <t>Columna90</t>
  </si>
  <si>
    <t>Columna91</t>
  </si>
  <si>
    <t>Columna92</t>
  </si>
  <si>
    <t>Columna93</t>
  </si>
  <si>
    <t>Columna94</t>
  </si>
  <si>
    <t>Columna95</t>
  </si>
  <si>
    <t>Columna96</t>
  </si>
  <si>
    <t>Columna97</t>
  </si>
  <si>
    <t>Columna98</t>
  </si>
  <si>
    <t>Columna99</t>
  </si>
  <si>
    <t>Columna100</t>
  </si>
  <si>
    <t>Columna101</t>
  </si>
  <si>
    <t>Columna102</t>
  </si>
  <si>
    <t>Columna103</t>
  </si>
  <si>
    <t>Columna104</t>
  </si>
  <si>
    <t>Columna105</t>
  </si>
  <si>
    <t>Columna106</t>
  </si>
  <si>
    <t>Columna107</t>
  </si>
  <si>
    <t>Columna108</t>
  </si>
  <si>
    <t>Columna109</t>
  </si>
  <si>
    <t>Columna110</t>
  </si>
  <si>
    <t>Columna111</t>
  </si>
  <si>
    <t>Columna112</t>
  </si>
  <si>
    <t>Columna113</t>
  </si>
  <si>
    <t>Columna114</t>
  </si>
  <si>
    <t>Columna115</t>
  </si>
  <si>
    <t>Columna116</t>
  </si>
  <si>
    <t>Columna117</t>
  </si>
  <si>
    <t>Columna118</t>
  </si>
  <si>
    <t>Columna119</t>
  </si>
  <si>
    <t>Columna120</t>
  </si>
  <si>
    <t>Columna121</t>
  </si>
  <si>
    <t>Columna122</t>
  </si>
  <si>
    <t>Columna123</t>
  </si>
  <si>
    <t>Columna124</t>
  </si>
  <si>
    <t>Columna125</t>
  </si>
  <si>
    <t>Columna126</t>
  </si>
  <si>
    <t>Columna127</t>
  </si>
  <si>
    <t>Columna128</t>
  </si>
  <si>
    <t>Columna129</t>
  </si>
  <si>
    <t>Columna130</t>
  </si>
  <si>
    <t>Columna131</t>
  </si>
  <si>
    <t>Columna132</t>
  </si>
  <si>
    <t>Columna133</t>
  </si>
  <si>
    <t>Columna134</t>
  </si>
  <si>
    <t>Columna135</t>
  </si>
  <si>
    <t>Columna136</t>
  </si>
  <si>
    <t>Columna137</t>
  </si>
  <si>
    <t>Columna138</t>
  </si>
  <si>
    <t>Columna139</t>
  </si>
  <si>
    <t>Columna140</t>
  </si>
  <si>
    <t>Columna141</t>
  </si>
  <si>
    <t>Columna142</t>
  </si>
  <si>
    <t>Columna143</t>
  </si>
  <si>
    <t>Columna144</t>
  </si>
  <si>
    <t>Columna145</t>
  </si>
  <si>
    <t>Columna146</t>
  </si>
  <si>
    <t>Columna147</t>
  </si>
  <si>
    <t>Columna148</t>
  </si>
  <si>
    <t>Columna149</t>
  </si>
  <si>
    <t>Columna150</t>
  </si>
  <si>
    <t>Columna151</t>
  </si>
  <si>
    <t>Columna152</t>
  </si>
  <si>
    <t>Columna153</t>
  </si>
  <si>
    <t>Columna154</t>
  </si>
  <si>
    <t>Columna155</t>
  </si>
  <si>
    <t>Columna156</t>
  </si>
  <si>
    <t>Columna157</t>
  </si>
  <si>
    <t>Columna158</t>
  </si>
  <si>
    <t>Columna159</t>
  </si>
  <si>
    <t>Columna160</t>
  </si>
  <si>
    <t>Columna161</t>
  </si>
  <si>
    <t>Columna162</t>
  </si>
  <si>
    <t>Columna163</t>
  </si>
  <si>
    <t>23-ene</t>
  </si>
  <si>
    <t>0</t>
  </si>
  <si>
    <t xml:space="preserve"> </t>
  </si>
  <si>
    <t>1</t>
  </si>
  <si>
    <t>2</t>
  </si>
  <si>
    <t>3</t>
  </si>
  <si>
    <t>Columna164</t>
  </si>
  <si>
    <t>Columna165</t>
  </si>
  <si>
    <t xml:space="preserve">Tareas </t>
  </si>
  <si>
    <t>Evaluación IP</t>
  </si>
  <si>
    <t>Evaluación IIP</t>
  </si>
  <si>
    <t>Poyectos</t>
  </si>
  <si>
    <t>Portafolios</t>
  </si>
  <si>
    <t>Tareas IIP</t>
  </si>
  <si>
    <r>
      <rPr>
        <sz val="12"/>
        <color rgb="FF000000"/>
        <rFont val="Arial"/>
        <family val="2"/>
      </rPr>
      <t>🗒️</t>
    </r>
    <r>
      <rPr>
        <b/>
        <sz val="12"/>
        <color rgb="FF000000"/>
        <rFont val="Arial"/>
        <family val="2"/>
      </rPr>
      <t xml:space="preserve"> Ir a Tareas </t>
    </r>
  </si>
  <si>
    <t>📄 Ir a Evaluaciones</t>
  </si>
  <si>
    <r>
      <rPr>
        <sz val="12"/>
        <color rgb="FF000000"/>
        <rFont val="Arial"/>
        <family val="2"/>
      </rPr>
      <t>📚</t>
    </r>
    <r>
      <rPr>
        <b/>
        <sz val="12"/>
        <color rgb="FF000000"/>
        <rFont val="Arial"/>
        <family val="2"/>
      </rPr>
      <t xml:space="preserve"> Ir a Portafolio</t>
    </r>
  </si>
  <si>
    <r>
      <rPr>
        <sz val="12"/>
        <color theme="0"/>
        <rFont val="Arial"/>
        <family val="2"/>
      </rPr>
      <t>📋</t>
    </r>
    <r>
      <rPr>
        <b/>
        <sz val="12"/>
        <color theme="0"/>
        <rFont val="Arial"/>
        <family val="2"/>
      </rPr>
      <t xml:space="preserve"> Ir a Indicadores</t>
    </r>
  </si>
  <si>
    <r>
      <rPr>
        <sz val="12"/>
        <color rgb="FF000000"/>
        <rFont val="Arial"/>
        <family val="2"/>
      </rPr>
      <t>✍️</t>
    </r>
    <r>
      <rPr>
        <b/>
        <sz val="12"/>
        <color rgb="FF000000"/>
        <rFont val="Arial"/>
        <family val="2"/>
      </rPr>
      <t xml:space="preserve"> Ir a Proyectos</t>
    </r>
  </si>
  <si>
    <r>
      <t xml:space="preserve">🏠 </t>
    </r>
    <r>
      <rPr>
        <b/>
        <sz val="12"/>
        <color rgb="FF000000"/>
        <rFont val="Arial"/>
        <family val="2"/>
      </rPr>
      <t>Principal</t>
    </r>
  </si>
  <si>
    <t>✍️ Ir a Proyectos</t>
  </si>
  <si>
    <t>📋 Ir a Indicadores</t>
  </si>
  <si>
    <t>Estrategia de Promoción I</t>
  </si>
  <si>
    <t>Estrategia de Promoción II</t>
  </si>
  <si>
    <t>CONCIDIÓN SEGÚN ESTRATEGIA</t>
  </si>
  <si>
    <t>Promedio Segundo Peridodo</t>
  </si>
  <si>
    <t>22</t>
  </si>
  <si>
    <t>Valor porcentual Evaluación I</t>
  </si>
  <si>
    <t>Valor porcentual Evaluación 1</t>
  </si>
  <si>
    <t>Valor porcentual Evaluación II</t>
  </si>
  <si>
    <t>Valor porcentual Evaluación 2</t>
  </si>
  <si>
    <t>Evaluar por:</t>
  </si>
  <si>
    <t>Evaluación 1</t>
  </si>
  <si>
    <t>Evaluación 2</t>
  </si>
  <si>
    <t>Alajuela</t>
  </si>
  <si>
    <t xml:space="preserve">CTP San Rafael de Poás </t>
  </si>
  <si>
    <t xml:space="preserve">Hellen María Rodríguez R </t>
  </si>
  <si>
    <t>Tarea 1 IP</t>
  </si>
  <si>
    <t>Tarea 2 IIP</t>
  </si>
  <si>
    <t>Tarea 1 IIP</t>
  </si>
  <si>
    <t>Tarea 2 IP</t>
  </si>
  <si>
    <t>Valor porcentual Tarea 1</t>
  </si>
  <si>
    <t>Valor porcentual Tarea 2</t>
  </si>
  <si>
    <t>Porcentaje</t>
  </si>
  <si>
    <t>English Oriented to Business and Customer Service Executive</t>
  </si>
  <si>
    <t>Salazar</t>
  </si>
  <si>
    <t>González</t>
  </si>
  <si>
    <t xml:space="preserve">Alfaro </t>
  </si>
  <si>
    <t>Céspedes</t>
  </si>
  <si>
    <t>Bryan Mauricio</t>
  </si>
  <si>
    <t>Ian</t>
  </si>
  <si>
    <t>Blanco</t>
  </si>
  <si>
    <t>Ulloa</t>
  </si>
  <si>
    <t>Gloriana</t>
  </si>
  <si>
    <t>Chaves</t>
  </si>
  <si>
    <t>Castro</t>
  </si>
  <si>
    <t>Steven Josué</t>
  </si>
  <si>
    <t xml:space="preserve">Corella </t>
  </si>
  <si>
    <t>José Luis</t>
  </si>
  <si>
    <t>Herrera</t>
  </si>
  <si>
    <t>Rodríguez</t>
  </si>
  <si>
    <t>Derek</t>
  </si>
  <si>
    <t>León</t>
  </si>
  <si>
    <t>Brenes</t>
  </si>
  <si>
    <t>Jordan David</t>
  </si>
  <si>
    <t>Marín</t>
  </si>
  <si>
    <t>Ugalde</t>
  </si>
  <si>
    <t>Yoseph David</t>
  </si>
  <si>
    <t>Martínez</t>
  </si>
  <si>
    <t xml:space="preserve">Irola </t>
  </si>
  <si>
    <t>Danny</t>
  </si>
  <si>
    <t xml:space="preserve">Morales </t>
  </si>
  <si>
    <t>Alfaro</t>
  </si>
  <si>
    <t>Dereck Josué</t>
  </si>
  <si>
    <t xml:space="preserve">Morera </t>
  </si>
  <si>
    <t xml:space="preserve">Quirós </t>
  </si>
  <si>
    <t>Kendall Steff</t>
  </si>
  <si>
    <t>Murillo</t>
  </si>
  <si>
    <t>Emily Zharick</t>
  </si>
  <si>
    <t>Rojas</t>
  </si>
  <si>
    <t>Fabricio Javier</t>
  </si>
  <si>
    <t xml:space="preserve">Masis </t>
  </si>
  <si>
    <t>Pablo David</t>
  </si>
  <si>
    <t>Víquez</t>
  </si>
  <si>
    <t>Adriano</t>
  </si>
  <si>
    <t>L/ Follow the main points of extended discussion around him/her about the types of apps marketing, </t>
  </si>
  <si>
    <t>R/ Understand clearly written instructions about the aspects required to compare app marketing and consumers reactions. </t>
  </si>
  <si>
    <t>SI/ Maintain a conversation or discussion about essential app marketing strategies. </t>
  </si>
  <si>
    <t>SI/ Enter unprepared into a conversation about the differences between different types of marketing.</t>
  </si>
  <si>
    <t>SP/ Report straightforward information about the features taken into account for the development of an app marketing plan.</t>
  </si>
  <si>
    <t>W/ Write brief standard reports conveying factual information, stating reasons for actions that will be done in the marketing plan. </t>
  </si>
  <si>
    <t>12-1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</si>
</sst>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6">
    <numFmt numFmtId="164" formatCode="_(&quot;₡&quot;* #,##0.00_);_(&quot;₡&quot;* \(#,##0.00\);_(&quot;₡&quot;* &quot;-&quot;??_);_(@_)"/>
    <numFmt numFmtId="165" formatCode="dd/mm/yy;@"/>
    <numFmt numFmtId="166" formatCode="[$-F800]dddd\,\ mmmm\ dd\,\ yyyy"/>
    <numFmt numFmtId="167" formatCode="0.0"/>
    <numFmt numFmtId="168" formatCode=";;;"/>
    <numFmt numFmtId="169" formatCode="&quot;&quot;"/>
  </numFmts>
  <fonts count="39" x14ac:knownFonts="1"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rgb="FF000000"/>
      <name val="Arial"/>
      <family val="2"/>
    </font>
    <font>
      <sz val="12"/>
      <color theme="1"/>
      <name val="Arial"/>
      <family val="2"/>
    </font>
    <font>
      <b/>
      <sz val="12"/>
      <color theme="1"/>
      <name val="Arial"/>
      <family val="2"/>
    </font>
    <font>
      <b/>
      <sz val="14"/>
      <name val="Arial"/>
      <family val="2"/>
    </font>
    <font>
      <b/>
      <sz val="11"/>
      <name val="Arial"/>
      <family val="2"/>
    </font>
    <font>
      <b/>
      <sz val="9"/>
      <color theme="1"/>
      <name val="Arial"/>
      <family val="2"/>
    </font>
    <font>
      <sz val="9"/>
      <color theme="1"/>
      <name val="Arial"/>
      <family val="2"/>
    </font>
    <font>
      <sz val="9"/>
      <color rgb="FFFF0000"/>
      <name val="Arial"/>
      <family val="2"/>
    </font>
    <font>
      <sz val="9"/>
      <name val="Tahoma"/>
      <family val="2"/>
    </font>
    <font>
      <b/>
      <sz val="9"/>
      <name val="Tahoma"/>
      <family val="2"/>
    </font>
    <font>
      <b/>
      <sz val="11"/>
      <color theme="1"/>
      <name val="Arial"/>
      <family val="2"/>
    </font>
    <font>
      <b/>
      <sz val="13"/>
      <color theme="1"/>
      <name val="Arial"/>
      <family val="2"/>
    </font>
    <font>
      <b/>
      <sz val="9"/>
      <name val="Arial"/>
      <family val="2"/>
    </font>
    <font>
      <b/>
      <sz val="14"/>
      <color theme="1"/>
      <name val="Arial"/>
      <family val="2"/>
    </font>
    <font>
      <sz val="8"/>
      <name val="Calibri"/>
      <family val="2"/>
      <scheme val="minor"/>
    </font>
    <font>
      <b/>
      <sz val="12"/>
      <color theme="0"/>
      <name val="Arial"/>
      <family val="2"/>
    </font>
    <font>
      <b/>
      <sz val="12"/>
      <color theme="1"/>
      <name val="Arial Black"/>
      <family val="2"/>
    </font>
    <font>
      <sz val="11"/>
      <color theme="1"/>
      <name val="Calibri"/>
      <family val="2"/>
      <scheme val="minor"/>
    </font>
    <font>
      <sz val="12"/>
      <color rgb="FFFF0000"/>
      <name val="Arial"/>
      <family val="2"/>
    </font>
    <font>
      <sz val="8"/>
      <color theme="1"/>
      <name val="Arial"/>
      <family val="2"/>
    </font>
    <font>
      <sz val="12"/>
      <color theme="0"/>
      <name val="Arial"/>
      <family val="2"/>
    </font>
    <font>
      <b/>
      <u/>
      <sz val="12"/>
      <color rgb="FFFF0000"/>
      <name val="Arial"/>
      <family val="2"/>
    </font>
    <font>
      <sz val="11"/>
      <color theme="1"/>
      <name val="Arial"/>
      <family val="2"/>
    </font>
    <font>
      <u/>
      <sz val="11"/>
      <color theme="1"/>
      <name val="Arial"/>
      <family val="2"/>
    </font>
    <font>
      <sz val="11"/>
      <color rgb="FFFF0000"/>
      <name val="Arial"/>
      <family val="2"/>
    </font>
    <font>
      <sz val="11"/>
      <color theme="0"/>
      <name val="Arial"/>
      <family val="2"/>
    </font>
    <font>
      <sz val="28"/>
      <color rgb="FF000000"/>
      <name val="Calibri"/>
      <family val="2"/>
    </font>
    <font>
      <sz val="72"/>
      <color theme="5"/>
      <name val="Arial"/>
      <family val="2"/>
    </font>
    <font>
      <u/>
      <sz val="11"/>
      <color theme="1"/>
      <name val="Calibri"/>
      <family val="2"/>
      <scheme val="minor"/>
    </font>
    <font>
      <sz val="72"/>
      <color theme="8" tint="-0.249977111117893"/>
      <name val="Arial"/>
      <family val="2"/>
    </font>
    <font>
      <sz val="72"/>
      <color theme="9" tint="-0.249977111117893"/>
      <name val="Arial"/>
      <family val="2"/>
    </font>
    <font>
      <sz val="72"/>
      <color theme="7" tint="-0.249977111117893"/>
      <name val="Arial"/>
      <family val="2"/>
    </font>
    <font>
      <sz val="12"/>
      <color rgb="FF000000"/>
      <name val="Arial"/>
      <family val="2"/>
    </font>
    <font>
      <b/>
      <sz val="10"/>
      <color theme="1"/>
      <name val="Arial"/>
      <family val="2"/>
    </font>
    <font>
      <sz val="12"/>
      <color theme="0"/>
      <name val="Calibri"/>
      <family val="2"/>
      <scheme val="minor"/>
    </font>
    <font>
      <b/>
      <u/>
      <sz val="12"/>
      <color theme="1"/>
      <name val="Arial"/>
      <family val="2"/>
    </font>
    <font>
      <sz val="12"/>
      <color theme="1"/>
      <name val="Times New Roman"/>
      <family val="1"/>
    </font>
  </fonts>
  <fills count="22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4" tint="0.59999389629810485"/>
        <bgColor rgb="FFDDDDDD"/>
      </patternFill>
    </fill>
    <fill>
      <patternFill patternType="solid">
        <fgColor theme="4" tint="0.39994506668294322"/>
        <bgColor rgb="FFDDDDDD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rgb="FF92D050"/>
        <bgColor rgb="FFDDDDDD"/>
      </patternFill>
    </fill>
    <fill>
      <patternFill patternType="solid">
        <fgColor theme="5"/>
        <bgColor rgb="FFDDDDDD"/>
      </patternFill>
    </fill>
    <fill>
      <patternFill patternType="solid">
        <fgColor theme="7" tint="0.59996337778862885"/>
        <bgColor rgb="FFDDDDDD"/>
      </patternFill>
    </fill>
    <fill>
      <patternFill patternType="solid">
        <fgColor theme="9" tint="0.59996337778862885"/>
        <bgColor rgb="FFDDDDDD"/>
      </patternFill>
    </fill>
    <fill>
      <patternFill patternType="solid">
        <fgColor theme="3"/>
        <bgColor rgb="FFDDDDDD"/>
      </patternFill>
    </fill>
    <fill>
      <patternFill patternType="solid">
        <fgColor theme="9"/>
        <bgColor rgb="FFDDDDDD"/>
      </patternFill>
    </fill>
    <fill>
      <patternFill patternType="solid">
        <fgColor rgb="FFABBCBD"/>
        <bgColor indexed="64"/>
      </patternFill>
    </fill>
    <fill>
      <patternFill patternType="solid">
        <fgColor theme="0"/>
        <bgColor rgb="FFDDDDDD"/>
      </patternFill>
    </fill>
    <fill>
      <patternFill patternType="solid">
        <fgColor theme="4" tint="0.39997558519241921"/>
        <bgColor rgb="FFDDDDDD"/>
      </patternFill>
    </fill>
    <fill>
      <patternFill patternType="solid">
        <fgColor theme="4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ECFF"/>
        <bgColor indexed="64"/>
      </patternFill>
    </fill>
  </fills>
  <borders count="54">
    <border>
      <left/>
      <right/>
      <top/>
      <bottom/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/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auto="1"/>
      </left>
      <right/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/>
      <right style="medium">
        <color auto="1"/>
      </right>
      <top style="medium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auto="1"/>
      </right>
      <top/>
      <bottom style="double">
        <color auto="1"/>
      </bottom>
      <diagonal/>
    </border>
    <border>
      <left/>
      <right style="thin">
        <color auto="1"/>
      </right>
      <top/>
      <bottom style="double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double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medium">
        <color auto="1"/>
      </top>
      <bottom/>
      <diagonal/>
    </border>
    <border>
      <left/>
      <right style="thin">
        <color indexed="64"/>
      </right>
      <top style="medium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 style="thick">
        <color indexed="64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/>
      <diagonal/>
    </border>
    <border>
      <left style="thin">
        <color auto="1"/>
      </left>
      <right style="thick">
        <color indexed="64"/>
      </right>
      <top style="thin">
        <color auto="1"/>
      </top>
      <bottom style="thin">
        <color indexed="64"/>
      </bottom>
      <diagonal/>
    </border>
    <border>
      <left style="thick">
        <color indexed="64"/>
      </left>
      <right style="thick">
        <color indexed="64"/>
      </right>
      <top style="thin">
        <color auto="1"/>
      </top>
      <bottom style="thin">
        <color indexed="64"/>
      </bottom>
      <diagonal/>
    </border>
    <border>
      <left/>
      <right style="thick">
        <color auto="1"/>
      </right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  <border>
      <left/>
      <right style="thin">
        <color auto="1"/>
      </right>
      <top style="thin">
        <color auto="1"/>
      </top>
      <bottom style="thick">
        <color rgb="FFFFFFFF"/>
      </bottom>
      <diagonal/>
    </border>
    <border>
      <left style="thin">
        <color indexed="64"/>
      </left>
      <right/>
      <top/>
      <bottom style="thick">
        <color theme="0"/>
      </bottom>
      <diagonal/>
    </border>
    <border>
      <left style="thin">
        <color theme="0"/>
      </left>
      <right style="thin">
        <color auto="1"/>
      </right>
      <top/>
      <bottom style="thick">
        <color rgb="FFFFFFFF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ck">
        <color rgb="FFFFFFFF"/>
      </bottom>
      <diagonal/>
    </border>
    <border>
      <left style="thin">
        <color theme="0"/>
      </left>
      <right style="thin">
        <color auto="1"/>
      </right>
      <top style="thin">
        <color theme="0"/>
      </top>
      <bottom/>
      <diagonal/>
    </border>
    <border>
      <left style="thin">
        <color indexed="64"/>
      </left>
      <right/>
      <top style="thin">
        <color auto="1"/>
      </top>
      <bottom style="thick">
        <color rgb="FFFFFFFF"/>
      </bottom>
      <diagonal/>
    </border>
  </borders>
  <cellStyleXfs count="4">
    <xf numFmtId="0" fontId="0" fillId="0" borderId="0"/>
    <xf numFmtId="0" fontId="1" fillId="0" borderId="0" applyNumberFormat="0" applyFill="0" applyBorder="0" applyAlignment="0" applyProtection="0"/>
    <xf numFmtId="9" fontId="19" fillId="0" borderId="0" applyFont="0" applyFill="0" applyBorder="0" applyAlignment="0" applyProtection="0"/>
    <xf numFmtId="164" fontId="19" fillId="0" borderId="0" applyFont="0" applyFill="0" applyBorder="0" applyAlignment="0" applyProtection="0"/>
  </cellStyleXfs>
  <cellXfs count="259">
    <xf numFmtId="0" fontId="0" fillId="0" borderId="0" xfId="0"/>
    <xf numFmtId="0" fontId="2" fillId="3" borderId="4" xfId="0" applyFont="1" applyFill="1" applyBorder="1" applyAlignment="1" applyProtection="1">
      <alignment vertical="center"/>
      <protection locked="0"/>
    </xf>
    <xf numFmtId="49" fontId="2" fillId="4" borderId="4" xfId="0" applyNumberFormat="1" applyFont="1" applyFill="1" applyBorder="1" applyAlignment="1" applyProtection="1">
      <alignment horizontal="center" vertical="center"/>
      <protection locked="0"/>
    </xf>
    <xf numFmtId="0" fontId="3" fillId="0" borderId="0" xfId="0" applyFont="1"/>
    <xf numFmtId="0" fontId="8" fillId="5" borderId="7" xfId="0" applyFont="1" applyFill="1" applyBorder="1" applyAlignment="1">
      <alignment horizontal="justify" vertical="top" wrapText="1"/>
    </xf>
    <xf numFmtId="0" fontId="8" fillId="5" borderId="7" xfId="0" applyFont="1" applyFill="1" applyBorder="1" applyAlignment="1">
      <alignment horizontal="justify" vertical="center" wrapText="1"/>
    </xf>
    <xf numFmtId="0" fontId="8" fillId="5" borderId="7" xfId="0" applyFont="1" applyFill="1" applyBorder="1" applyAlignment="1">
      <alignment horizontal="justify" wrapText="1"/>
    </xf>
    <xf numFmtId="0" fontId="8" fillId="6" borderId="0" xfId="0" applyFont="1" applyFill="1" applyAlignment="1">
      <alignment wrapText="1"/>
    </xf>
    <xf numFmtId="0" fontId="0" fillId="0" borderId="0" xfId="0" applyAlignment="1">
      <alignment wrapText="1"/>
    </xf>
    <xf numFmtId="0" fontId="7" fillId="7" borderId="24" xfId="0" applyFont="1" applyFill="1" applyBorder="1" applyAlignment="1">
      <alignment horizontal="center" vertical="center" wrapText="1"/>
    </xf>
    <xf numFmtId="0" fontId="7" fillId="2" borderId="24" xfId="0" applyFont="1" applyFill="1" applyBorder="1" applyAlignment="1">
      <alignment horizontal="center" vertical="center" wrapText="1"/>
    </xf>
    <xf numFmtId="0" fontId="7" fillId="8" borderId="24" xfId="0" applyFont="1" applyFill="1" applyBorder="1" applyAlignment="1">
      <alignment horizontal="center" vertical="center" wrapText="1"/>
    </xf>
    <xf numFmtId="0" fontId="7" fillId="6" borderId="0" xfId="0" applyFont="1" applyFill="1" applyAlignment="1">
      <alignment wrapText="1"/>
    </xf>
    <xf numFmtId="0" fontId="8" fillId="7" borderId="25" xfId="0" applyFont="1" applyFill="1" applyBorder="1" applyAlignment="1">
      <alignment horizontal="center" wrapText="1"/>
    </xf>
    <xf numFmtId="0" fontId="8" fillId="2" borderId="25" xfId="0" applyFont="1" applyFill="1" applyBorder="1" applyAlignment="1">
      <alignment horizontal="center" wrapText="1"/>
    </xf>
    <xf numFmtId="0" fontId="8" fillId="8" borderId="25" xfId="0" applyFont="1" applyFill="1" applyBorder="1" applyAlignment="1">
      <alignment horizontal="center" wrapText="1"/>
    </xf>
    <xf numFmtId="0" fontId="8" fillId="7" borderId="7" xfId="0" applyFont="1" applyFill="1" applyBorder="1" applyAlignment="1">
      <alignment horizontal="center" wrapText="1"/>
    </xf>
    <xf numFmtId="0" fontId="8" fillId="2" borderId="7" xfId="0" applyFont="1" applyFill="1" applyBorder="1" applyAlignment="1">
      <alignment horizontal="center" wrapText="1"/>
    </xf>
    <xf numFmtId="0" fontId="8" fillId="8" borderId="7" xfId="0" applyFont="1" applyFill="1" applyBorder="1" applyAlignment="1">
      <alignment horizontal="center" wrapText="1"/>
    </xf>
    <xf numFmtId="49" fontId="8" fillId="6" borderId="0" xfId="0" applyNumberFormat="1" applyFont="1" applyFill="1" applyAlignment="1">
      <alignment horizontal="center" vertical="center" wrapText="1"/>
    </xf>
    <xf numFmtId="0" fontId="8" fillId="6" borderId="0" xfId="0" applyFont="1" applyFill="1" applyAlignment="1">
      <alignment horizontal="justify" vertical="top" wrapText="1"/>
    </xf>
    <xf numFmtId="0" fontId="8" fillId="6" borderId="0" xfId="0" applyFont="1" applyFill="1" applyAlignment="1">
      <alignment horizontal="center" wrapText="1"/>
    </xf>
    <xf numFmtId="0" fontId="2" fillId="4" borderId="7" xfId="0" applyFont="1" applyFill="1" applyBorder="1" applyAlignment="1" applyProtection="1">
      <alignment horizontal="center" vertical="center"/>
      <protection locked="0"/>
    </xf>
    <xf numFmtId="0" fontId="6" fillId="3" borderId="13" xfId="1" applyFont="1" applyFill="1" applyBorder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/>
      <protection locked="0" hidden="1"/>
    </xf>
    <xf numFmtId="0" fontId="3" fillId="16" borderId="5" xfId="0" applyFont="1" applyFill="1" applyBorder="1" applyAlignment="1" applyProtection="1">
      <alignment horizontal="center" vertical="center" wrapText="1"/>
      <protection locked="0" hidden="1"/>
    </xf>
    <xf numFmtId="0" fontId="3" fillId="16" borderId="34" xfId="0" applyFont="1" applyFill="1" applyBorder="1" applyAlignment="1" applyProtection="1">
      <alignment horizontal="center" vertical="center" wrapText="1"/>
      <protection locked="0" hidden="1"/>
    </xf>
    <xf numFmtId="0" fontId="3" fillId="16" borderId="0" xfId="0" applyFont="1" applyFill="1" applyAlignment="1" applyProtection="1">
      <alignment horizontal="center" vertical="center" wrapText="1"/>
      <protection locked="0" hidden="1"/>
    </xf>
    <xf numFmtId="0" fontId="3" fillId="16" borderId="27" xfId="0" applyFont="1" applyFill="1" applyBorder="1" applyAlignment="1" applyProtection="1">
      <alignment horizontal="center" vertical="center" wrapText="1"/>
      <protection locked="0" hidden="1"/>
    </xf>
    <xf numFmtId="0" fontId="3" fillId="16" borderId="42" xfId="0" applyFont="1" applyFill="1" applyBorder="1" applyAlignment="1" applyProtection="1">
      <alignment horizontal="center" vertical="center" wrapText="1"/>
      <protection locked="0" hidden="1"/>
    </xf>
    <xf numFmtId="0" fontId="3" fillId="16" borderId="16" xfId="0" applyFont="1" applyFill="1" applyBorder="1" applyAlignment="1" applyProtection="1">
      <alignment horizontal="center" vertical="center" wrapText="1"/>
      <protection locked="0" hidden="1"/>
    </xf>
    <xf numFmtId="0" fontId="3" fillId="0" borderId="0" xfId="0" applyFont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center" vertical="center"/>
      <protection locked="0" hidden="1"/>
    </xf>
    <xf numFmtId="0" fontId="24" fillId="0" borderId="0" xfId="0" applyFont="1" applyAlignment="1" applyProtection="1">
      <alignment horizontal="center" vertical="center" wrapText="1"/>
      <protection locked="0" hidden="1"/>
    </xf>
    <xf numFmtId="0" fontId="25" fillId="0" borderId="0" xfId="0" applyFont="1" applyAlignment="1" applyProtection="1">
      <alignment horizontal="center" vertical="center"/>
      <protection locked="0" hidden="1"/>
    </xf>
    <xf numFmtId="0" fontId="20" fillId="6" borderId="39" xfId="0" applyFont="1" applyFill="1" applyBorder="1" applyAlignment="1" applyProtection="1">
      <alignment horizontal="center" vertical="center" textRotation="90" wrapText="1"/>
      <protection locked="0" hidden="1"/>
    </xf>
    <xf numFmtId="0" fontId="20" fillId="6" borderId="33" xfId="0" applyFont="1" applyFill="1" applyBorder="1" applyAlignment="1" applyProtection="1">
      <alignment horizontal="center" vertical="center" textRotation="90" wrapText="1"/>
      <protection locked="0" hidden="1"/>
    </xf>
    <xf numFmtId="0" fontId="20" fillId="6" borderId="33" xfId="0" applyFont="1" applyFill="1" applyBorder="1" applyAlignment="1" applyProtection="1">
      <alignment horizontal="center" vertical="center" textRotation="90"/>
      <protection locked="0" hidden="1"/>
    </xf>
    <xf numFmtId="0" fontId="20" fillId="6" borderId="38" xfId="0" applyFont="1" applyFill="1" applyBorder="1" applyAlignment="1" applyProtection="1">
      <alignment horizontal="center" vertical="center" textRotation="90" wrapText="1"/>
      <protection locked="0" hidden="1"/>
    </xf>
    <xf numFmtId="0" fontId="3" fillId="6" borderId="20" xfId="0" applyFont="1" applyFill="1" applyBorder="1" applyAlignment="1" applyProtection="1">
      <alignment horizontal="center" vertical="center" textRotation="90" wrapText="1"/>
      <protection locked="0" hidden="1"/>
    </xf>
    <xf numFmtId="0" fontId="3" fillId="6" borderId="37" xfId="0" applyFont="1" applyFill="1" applyBorder="1" applyAlignment="1" applyProtection="1">
      <alignment horizontal="center" vertical="center" textRotation="90" wrapText="1"/>
      <protection locked="0" hidden="1"/>
    </xf>
    <xf numFmtId="0" fontId="3" fillId="6" borderId="21" xfId="0" applyFont="1" applyFill="1" applyBorder="1" applyAlignment="1" applyProtection="1">
      <alignment horizontal="center" vertical="center" textRotation="90" wrapText="1"/>
      <protection locked="0" hidden="1"/>
    </xf>
    <xf numFmtId="0" fontId="3" fillId="6" borderId="25" xfId="0" applyFont="1" applyFill="1" applyBorder="1" applyAlignment="1" applyProtection="1">
      <alignment horizontal="center" vertical="center" textRotation="90" wrapText="1"/>
      <protection locked="0" hidden="1"/>
    </xf>
    <xf numFmtId="0" fontId="27" fillId="6" borderId="0" xfId="0" applyFont="1" applyFill="1" applyAlignment="1" applyProtection="1">
      <alignment horizontal="center" vertical="center"/>
      <protection hidden="1"/>
    </xf>
    <xf numFmtId="0" fontId="24" fillId="0" borderId="0" xfId="0" applyFont="1" applyAlignment="1" applyProtection="1">
      <alignment horizontal="center" vertical="center"/>
      <protection hidden="1"/>
    </xf>
    <xf numFmtId="0" fontId="8" fillId="5" borderId="25" xfId="0" applyFont="1" applyFill="1" applyBorder="1" applyAlignment="1">
      <alignment horizontal="center" vertical="center" wrapText="1"/>
    </xf>
    <xf numFmtId="0" fontId="8" fillId="5" borderId="7" xfId="0" applyFont="1" applyFill="1" applyBorder="1" applyAlignment="1">
      <alignment horizontal="center" vertical="center" wrapText="1"/>
    </xf>
    <xf numFmtId="0" fontId="9" fillId="5" borderId="7" xfId="0" applyFont="1" applyFill="1" applyBorder="1" applyAlignment="1">
      <alignment horizontal="center" vertical="center" wrapText="1"/>
    </xf>
    <xf numFmtId="14" fontId="3" fillId="16" borderId="0" xfId="0" applyNumberFormat="1" applyFont="1" applyFill="1" applyAlignment="1" applyProtection="1">
      <alignment horizontal="center" vertical="center" wrapText="1"/>
      <protection locked="0" hidden="1"/>
    </xf>
    <xf numFmtId="0" fontId="24" fillId="0" borderId="0" xfId="0" applyFont="1" applyAlignment="1" applyProtection="1">
      <alignment horizontal="center" vertical="center" wrapText="1"/>
      <protection hidden="1"/>
    </xf>
    <xf numFmtId="0" fontId="0" fillId="0" borderId="0" xfId="0" applyProtection="1">
      <protection hidden="1"/>
    </xf>
    <xf numFmtId="0" fontId="30" fillId="0" borderId="0" xfId="0" applyFont="1" applyProtection="1">
      <protection hidden="1"/>
    </xf>
    <xf numFmtId="0" fontId="34" fillId="10" borderId="7" xfId="0" applyFont="1" applyFill="1" applyBorder="1" applyAlignment="1" applyProtection="1">
      <alignment horizontal="center" vertical="center"/>
      <protection hidden="1"/>
    </xf>
    <xf numFmtId="0" fontId="2" fillId="15" borderId="7" xfId="0" applyFont="1" applyFill="1" applyBorder="1" applyAlignment="1" applyProtection="1">
      <alignment horizontal="center" vertical="center"/>
      <protection hidden="1"/>
    </xf>
    <xf numFmtId="0" fontId="2" fillId="11" borderId="7" xfId="0" applyFont="1" applyFill="1" applyBorder="1" applyAlignment="1" applyProtection="1">
      <alignment horizontal="center" vertical="center"/>
      <protection hidden="1"/>
    </xf>
    <xf numFmtId="0" fontId="2" fillId="13" borderId="7" xfId="0" applyFont="1" applyFill="1" applyBorder="1" applyAlignment="1" applyProtection="1">
      <alignment horizontal="center" vertical="center"/>
      <protection hidden="1"/>
    </xf>
    <xf numFmtId="0" fontId="17" fillId="0" borderId="0" xfId="0" applyFont="1" applyAlignment="1" applyProtection="1">
      <alignment vertical="center"/>
      <protection hidden="1"/>
    </xf>
    <xf numFmtId="0" fontId="2" fillId="17" borderId="27" xfId="0" applyFont="1" applyFill="1" applyBorder="1" applyAlignment="1" applyProtection="1">
      <alignment vertical="center"/>
      <protection hidden="1"/>
    </xf>
    <xf numFmtId="0" fontId="24" fillId="0" borderId="0" xfId="0" applyFont="1" applyProtection="1">
      <protection hidden="1"/>
    </xf>
    <xf numFmtId="0" fontId="20" fillId="6" borderId="39" xfId="0" applyFont="1" applyFill="1" applyBorder="1" applyAlignment="1" applyProtection="1">
      <alignment horizontal="center" vertical="center" textRotation="90" wrapText="1"/>
      <protection hidden="1"/>
    </xf>
    <xf numFmtId="0" fontId="20" fillId="6" borderId="33" xfId="0" applyFont="1" applyFill="1" applyBorder="1" applyAlignment="1" applyProtection="1">
      <alignment horizontal="center" vertical="center" textRotation="90" wrapText="1"/>
      <protection hidden="1"/>
    </xf>
    <xf numFmtId="0" fontId="20" fillId="6" borderId="33" xfId="0" applyFont="1" applyFill="1" applyBorder="1" applyAlignment="1" applyProtection="1">
      <alignment horizontal="center" vertical="center" textRotation="90"/>
      <protection hidden="1"/>
    </xf>
    <xf numFmtId="0" fontId="20" fillId="6" borderId="38" xfId="0" applyFont="1" applyFill="1" applyBorder="1" applyAlignment="1" applyProtection="1">
      <alignment horizontal="center" vertical="center" textRotation="90" wrapText="1"/>
      <protection hidden="1"/>
    </xf>
    <xf numFmtId="0" fontId="3" fillId="6" borderId="21" xfId="0" applyFont="1" applyFill="1" applyBorder="1" applyAlignment="1" applyProtection="1">
      <alignment horizontal="center" vertical="center" textRotation="90" wrapText="1"/>
      <protection hidden="1"/>
    </xf>
    <xf numFmtId="0" fontId="3" fillId="6" borderId="20" xfId="0" applyFont="1" applyFill="1" applyBorder="1" applyAlignment="1" applyProtection="1">
      <alignment horizontal="center" vertical="center" textRotation="90" wrapText="1"/>
      <protection hidden="1"/>
    </xf>
    <xf numFmtId="0" fontId="3" fillId="6" borderId="37" xfId="0" applyFont="1" applyFill="1" applyBorder="1" applyAlignment="1" applyProtection="1">
      <alignment horizontal="center" vertical="center" textRotation="90" wrapText="1"/>
      <protection hidden="1"/>
    </xf>
    <xf numFmtId="0" fontId="3" fillId="6" borderId="25" xfId="0" applyFont="1" applyFill="1" applyBorder="1" applyAlignment="1" applyProtection="1">
      <alignment horizontal="center" vertical="center" textRotation="90" wrapText="1"/>
      <protection hidden="1"/>
    </xf>
    <xf numFmtId="0" fontId="3" fillId="6" borderId="36" xfId="0" applyFont="1" applyFill="1" applyBorder="1" applyAlignment="1" applyProtection="1">
      <alignment horizontal="center" vertical="center" textRotation="90" wrapText="1"/>
      <protection hidden="1"/>
    </xf>
    <xf numFmtId="0" fontId="20" fillId="6" borderId="26" xfId="0" applyFont="1" applyFill="1" applyBorder="1" applyAlignment="1" applyProtection="1">
      <alignment horizontal="center" vertical="center" textRotation="90"/>
      <protection hidden="1"/>
    </xf>
    <xf numFmtId="0" fontId="20" fillId="6" borderId="20" xfId="0" applyFont="1" applyFill="1" applyBorder="1" applyAlignment="1" applyProtection="1">
      <alignment horizontal="center" vertical="center" textRotation="90" wrapText="1"/>
      <protection hidden="1"/>
    </xf>
    <xf numFmtId="0" fontId="20" fillId="6" borderId="20" xfId="0" applyFont="1" applyFill="1" applyBorder="1" applyAlignment="1" applyProtection="1">
      <alignment horizontal="center" vertical="center" textRotation="90"/>
      <protection hidden="1"/>
    </xf>
    <xf numFmtId="0" fontId="20" fillId="6" borderId="37" xfId="0" applyFont="1" applyFill="1" applyBorder="1" applyAlignment="1" applyProtection="1">
      <alignment horizontal="center" vertical="center" textRotation="90" wrapText="1"/>
      <protection hidden="1"/>
    </xf>
    <xf numFmtId="0" fontId="3" fillId="6" borderId="35" xfId="0" applyFont="1" applyFill="1" applyBorder="1" applyAlignment="1" applyProtection="1">
      <alignment horizontal="center" vertical="center" textRotation="90" wrapText="1"/>
      <protection hidden="1"/>
    </xf>
    <xf numFmtId="0" fontId="22" fillId="0" borderId="0" xfId="0" applyFont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 textRotation="90" wrapText="1"/>
      <protection hidden="1"/>
    </xf>
    <xf numFmtId="0" fontId="22" fillId="6" borderId="27" xfId="0" applyFont="1" applyFill="1" applyBorder="1" applyAlignment="1" applyProtection="1">
      <alignment horizontal="center" vertical="center" textRotation="90" wrapText="1"/>
      <protection hidden="1"/>
    </xf>
    <xf numFmtId="0" fontId="22" fillId="6" borderId="40" xfId="0" applyFont="1" applyFill="1" applyBorder="1" applyAlignment="1" applyProtection="1">
      <alignment horizontal="center" vertical="center" textRotation="90" wrapText="1"/>
      <protection hidden="1"/>
    </xf>
    <xf numFmtId="0" fontId="22" fillId="6" borderId="0" xfId="0" applyFont="1" applyFill="1" applyAlignment="1" applyProtection="1">
      <alignment horizontal="center" vertical="center" wrapText="1"/>
      <protection hidden="1"/>
    </xf>
    <xf numFmtId="16" fontId="22" fillId="6" borderId="0" xfId="0" applyNumberFormat="1" applyFont="1" applyFill="1" applyAlignment="1" applyProtection="1">
      <alignment horizontal="center" vertical="center"/>
      <protection hidden="1"/>
    </xf>
    <xf numFmtId="0" fontId="22" fillId="6" borderId="40" xfId="0" applyFont="1" applyFill="1" applyBorder="1" applyAlignment="1" applyProtection="1">
      <alignment horizontal="center" vertical="center"/>
      <protection hidden="1"/>
    </xf>
    <xf numFmtId="0" fontId="22" fillId="6" borderId="0" xfId="0" applyFont="1" applyFill="1" applyAlignment="1" applyProtection="1">
      <alignment horizontal="center" vertical="center"/>
      <protection hidden="1"/>
    </xf>
    <xf numFmtId="0" fontId="22" fillId="6" borderId="21" xfId="0" applyFont="1" applyFill="1" applyBorder="1" applyAlignment="1" applyProtection="1">
      <alignment horizontal="center" vertical="center"/>
      <protection hidden="1"/>
    </xf>
    <xf numFmtId="168" fontId="27" fillId="6" borderId="0" xfId="0" applyNumberFormat="1" applyFont="1" applyFill="1" applyProtection="1">
      <protection hidden="1"/>
    </xf>
    <xf numFmtId="0" fontId="22" fillId="6" borderId="37" xfId="0" applyFont="1" applyFill="1" applyBorder="1" applyAlignment="1" applyProtection="1">
      <alignment horizontal="center" vertical="center"/>
      <protection hidden="1"/>
    </xf>
    <xf numFmtId="0" fontId="29" fillId="0" borderId="0" xfId="0" applyFont="1" applyAlignment="1" applyProtection="1">
      <alignment vertical="center"/>
      <protection hidden="1"/>
    </xf>
    <xf numFmtId="0" fontId="4" fillId="0" borderId="0" xfId="0" applyFont="1" applyAlignment="1" applyProtection="1">
      <alignment vertical="center"/>
      <protection hidden="1"/>
    </xf>
    <xf numFmtId="0" fontId="2" fillId="12" borderId="7" xfId="0" applyFont="1" applyFill="1" applyBorder="1" applyAlignment="1" applyProtection="1">
      <alignment horizontal="center" vertical="center"/>
      <protection hidden="1"/>
    </xf>
    <xf numFmtId="0" fontId="17" fillId="14" borderId="37" xfId="0" applyFont="1" applyFill="1" applyBorder="1" applyAlignment="1" applyProtection="1">
      <alignment vertical="center"/>
      <protection hidden="1"/>
    </xf>
    <xf numFmtId="0" fontId="2" fillId="0" borderId="0" xfId="0" applyFont="1" applyAlignment="1" applyProtection="1">
      <alignment horizontal="center" vertical="center"/>
      <protection hidden="1"/>
    </xf>
    <xf numFmtId="0" fontId="3" fillId="0" borderId="0" xfId="0" applyFont="1" applyAlignment="1" applyProtection="1">
      <alignment horizontal="center"/>
      <protection hidden="1"/>
    </xf>
    <xf numFmtId="0" fontId="3" fillId="19" borderId="0" xfId="0" applyFont="1" applyFill="1" applyAlignment="1" applyProtection="1">
      <alignment horizontal="center"/>
      <protection hidden="1"/>
    </xf>
    <xf numFmtId="0" fontId="3" fillId="0" borderId="0" xfId="0" applyFont="1" applyAlignment="1" applyProtection="1">
      <alignment horizontal="center"/>
      <protection locked="0" hidden="1"/>
    </xf>
    <xf numFmtId="0" fontId="31" fillId="0" borderId="0" xfId="0" applyFont="1" applyAlignment="1" applyProtection="1">
      <alignment vertical="center"/>
      <protection hidden="1"/>
    </xf>
    <xf numFmtId="0" fontId="3" fillId="0" borderId="0" xfId="0" applyFont="1" applyProtection="1">
      <protection hidden="1"/>
    </xf>
    <xf numFmtId="0" fontId="25" fillId="0" borderId="0" xfId="0" applyFont="1" applyAlignment="1" applyProtection="1">
      <alignment horizontal="center" vertical="center"/>
      <protection hidden="1"/>
    </xf>
    <xf numFmtId="0" fontId="20" fillId="6" borderId="26" xfId="0" applyFont="1" applyFill="1" applyBorder="1" applyAlignment="1" applyProtection="1">
      <alignment horizontal="center" vertical="center" textRotation="90" wrapText="1"/>
      <protection hidden="1"/>
    </xf>
    <xf numFmtId="169" fontId="3" fillId="0" borderId="0" xfId="0" applyNumberFormat="1" applyFont="1" applyAlignment="1" applyProtection="1">
      <alignment horizontal="center" vertical="center"/>
      <protection hidden="1"/>
    </xf>
    <xf numFmtId="169" fontId="3" fillId="0" borderId="0" xfId="2" applyNumberFormat="1" applyFont="1" applyAlignment="1" applyProtection="1">
      <alignment horizontal="center" vertical="center"/>
      <protection hidden="1"/>
    </xf>
    <xf numFmtId="0" fontId="24" fillId="21" borderId="0" xfId="0" applyFont="1" applyFill="1" applyAlignment="1" applyProtection="1">
      <alignment horizontal="center" vertical="center"/>
      <protection hidden="1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3" borderId="1" xfId="0" applyFont="1" applyFill="1" applyBorder="1" applyAlignment="1" applyProtection="1">
      <alignment vertical="center"/>
      <protection locked="0"/>
    </xf>
    <xf numFmtId="0" fontId="2" fillId="3" borderId="7" xfId="0" applyFont="1" applyFill="1" applyBorder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0" fontId="2" fillId="3" borderId="3" xfId="0" applyFont="1" applyFill="1" applyBorder="1" applyAlignment="1" applyProtection="1">
      <alignment vertical="center"/>
      <protection locked="0"/>
    </xf>
    <xf numFmtId="0" fontId="6" fillId="3" borderId="14" xfId="1" applyFont="1" applyFill="1" applyBorder="1" applyAlignment="1" applyProtection="1">
      <alignment vertical="center"/>
      <protection locked="0"/>
    </xf>
    <xf numFmtId="0" fontId="2" fillId="3" borderId="5" xfId="0" applyFont="1" applyFill="1" applyBorder="1" applyAlignment="1" applyProtection="1">
      <alignment vertical="center"/>
      <protection locked="0"/>
    </xf>
    <xf numFmtId="0" fontId="7" fillId="6" borderId="0" xfId="0" applyFont="1" applyFill="1" applyAlignment="1" applyProtection="1">
      <alignment textRotation="90" wrapText="1"/>
      <protection locked="0"/>
    </xf>
    <xf numFmtId="0" fontId="14" fillId="6" borderId="0" xfId="0" applyFont="1" applyFill="1" applyAlignment="1" applyProtection="1">
      <alignment textRotation="90" wrapText="1"/>
      <protection locked="0"/>
    </xf>
    <xf numFmtId="0" fontId="15" fillId="9" borderId="0" xfId="0" applyFont="1" applyFill="1" applyAlignment="1" applyProtection="1">
      <alignment vertical="center" wrapText="1"/>
      <protection locked="0"/>
    </xf>
    <xf numFmtId="0" fontId="3" fillId="0" borderId="0" xfId="0" applyFont="1" applyAlignment="1" applyProtection="1">
      <alignment horizontal="center" vertical="center"/>
      <protection locked="0"/>
    </xf>
    <xf numFmtId="0" fontId="3" fillId="0" borderId="0" xfId="0" applyFont="1" applyAlignment="1" applyProtection="1">
      <alignment horizontal="center" vertical="center" wrapText="1"/>
      <protection locked="0"/>
    </xf>
    <xf numFmtId="0" fontId="22" fillId="0" borderId="0" xfId="0" applyFont="1" applyAlignment="1">
      <alignment horizontal="center" vertical="center"/>
    </xf>
    <xf numFmtId="1" fontId="4" fillId="0" borderId="7" xfId="0" applyNumberFormat="1" applyFont="1" applyBorder="1" applyAlignment="1">
      <alignment horizontal="center" vertical="center" wrapText="1"/>
    </xf>
    <xf numFmtId="0" fontId="2" fillId="3" borderId="7" xfId="0" applyFont="1" applyFill="1" applyBorder="1" applyAlignment="1">
      <alignment horizontal="center" vertical="center"/>
    </xf>
    <xf numFmtId="0" fontId="34" fillId="10" borderId="26" xfId="0" applyFont="1" applyFill="1" applyBorder="1" applyAlignment="1" applyProtection="1">
      <alignment horizontal="center" vertical="center"/>
      <protection hidden="1"/>
    </xf>
    <xf numFmtId="0" fontId="35" fillId="19" borderId="47" xfId="0" applyFont="1" applyFill="1" applyBorder="1" applyAlignment="1">
      <alignment horizontal="center" vertical="center" wrapText="1"/>
    </xf>
    <xf numFmtId="0" fontId="4" fillId="20" borderId="50" xfId="0" applyFont="1" applyFill="1" applyBorder="1" applyAlignment="1">
      <alignment horizontal="center" vertical="center"/>
    </xf>
    <xf numFmtId="0" fontId="4" fillId="20" borderId="51" xfId="0" applyFont="1" applyFill="1" applyBorder="1" applyAlignment="1">
      <alignment horizontal="center" vertical="center"/>
    </xf>
    <xf numFmtId="0" fontId="4" fillId="20" borderId="52" xfId="0" applyFont="1" applyFill="1" applyBorder="1" applyAlignment="1">
      <alignment horizontal="center" vertical="center"/>
    </xf>
    <xf numFmtId="0" fontId="4" fillId="20" borderId="52" xfId="0" applyFont="1" applyFill="1" applyBorder="1" applyAlignment="1">
      <alignment horizontal="center"/>
    </xf>
    <xf numFmtId="169" fontId="3" fillId="6" borderId="0" xfId="0" applyNumberFormat="1" applyFont="1" applyFill="1" applyProtection="1">
      <protection hidden="1"/>
    </xf>
    <xf numFmtId="0" fontId="2" fillId="17" borderId="0" xfId="0" applyFont="1" applyFill="1" applyAlignment="1" applyProtection="1">
      <alignment horizontal="center" vertical="center"/>
      <protection hidden="1"/>
    </xf>
    <xf numFmtId="0" fontId="17" fillId="14" borderId="7" xfId="0" applyFont="1" applyFill="1" applyBorder="1" applyAlignment="1" applyProtection="1">
      <alignment vertical="center"/>
      <protection hidden="1"/>
    </xf>
    <xf numFmtId="169" fontId="3" fillId="6" borderId="0" xfId="0" applyNumberFormat="1" applyFont="1" applyFill="1" applyAlignment="1" applyProtection="1">
      <alignment horizontal="center" vertical="center"/>
      <protection locked="0" hidden="1"/>
    </xf>
    <xf numFmtId="1" fontId="3" fillId="0" borderId="0" xfId="0" applyNumberFormat="1" applyFont="1" applyAlignment="1" applyProtection="1">
      <alignment horizontal="center"/>
      <protection locked="0" hidden="1"/>
    </xf>
    <xf numFmtId="1" fontId="3" fillId="0" borderId="0" xfId="0" applyNumberFormat="1" applyFont="1" applyAlignment="1" applyProtection="1">
      <alignment horizontal="center" vertical="center"/>
      <protection locked="0" hidden="1"/>
    </xf>
    <xf numFmtId="1" fontId="2" fillId="12" borderId="7" xfId="0" applyNumberFormat="1" applyFont="1" applyFill="1" applyBorder="1" applyAlignment="1" applyProtection="1">
      <alignment horizontal="center" vertical="center"/>
      <protection hidden="1"/>
    </xf>
    <xf numFmtId="1" fontId="0" fillId="0" borderId="0" xfId="0" applyNumberFormat="1" applyProtection="1">
      <protection hidden="1"/>
    </xf>
    <xf numFmtId="1" fontId="3" fillId="0" borderId="0" xfId="0" applyNumberFormat="1" applyFont="1" applyAlignment="1" applyProtection="1">
      <alignment horizontal="center" vertical="center"/>
      <protection hidden="1"/>
    </xf>
    <xf numFmtId="1" fontId="3" fillId="0" borderId="0" xfId="0" applyNumberFormat="1" applyFont="1"/>
    <xf numFmtId="1" fontId="0" fillId="0" borderId="0" xfId="0" applyNumberFormat="1"/>
    <xf numFmtId="0" fontId="3" fillId="6" borderId="0" xfId="0" applyFont="1" applyFill="1" applyAlignment="1" applyProtection="1">
      <alignment horizontal="center"/>
      <protection hidden="1"/>
    </xf>
    <xf numFmtId="0" fontId="36" fillId="6" borderId="0" xfId="0" applyFont="1" applyFill="1" applyAlignment="1" applyProtection="1">
      <alignment horizontal="center"/>
      <protection locked="0" hidden="1"/>
    </xf>
    <xf numFmtId="0" fontId="37" fillId="20" borderId="51" xfId="0" applyFont="1" applyFill="1" applyBorder="1" applyAlignment="1">
      <alignment horizontal="center" vertical="center"/>
    </xf>
    <xf numFmtId="0" fontId="37" fillId="20" borderId="52" xfId="0" applyFont="1" applyFill="1" applyBorder="1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3" fillId="20" borderId="0" xfId="0" applyFont="1" applyFill="1" applyAlignment="1">
      <alignment horizontal="center" vertical="center" wrapText="1"/>
    </xf>
    <xf numFmtId="0" fontId="3" fillId="20" borderId="21" xfId="0" applyFont="1" applyFill="1" applyBorder="1" applyAlignment="1">
      <alignment horizontal="center" vertical="center" wrapText="1"/>
    </xf>
    <xf numFmtId="0" fontId="3" fillId="20" borderId="37" xfId="0" applyFont="1" applyFill="1" applyBorder="1" applyAlignment="1">
      <alignment horizontal="center" vertical="center" wrapText="1"/>
    </xf>
    <xf numFmtId="0" fontId="3" fillId="20" borderId="20" xfId="0" applyFont="1" applyFill="1" applyBorder="1" applyAlignment="1">
      <alignment horizontal="center" vertical="center" wrapText="1"/>
    </xf>
    <xf numFmtId="16" fontId="3" fillId="20" borderId="37" xfId="0" applyNumberFormat="1" applyFont="1" applyFill="1" applyBorder="1" applyAlignment="1">
      <alignment horizontal="center" vertical="center"/>
    </xf>
    <xf numFmtId="168" fontId="3" fillId="20" borderId="0" xfId="0" applyNumberFormat="1" applyFont="1" applyFill="1" applyAlignment="1">
      <alignment horizontal="center" vertical="center"/>
    </xf>
    <xf numFmtId="0" fontId="3" fillId="20" borderId="0" xfId="0" applyFont="1" applyFill="1" applyAlignment="1">
      <alignment horizontal="center" vertical="center"/>
    </xf>
    <xf numFmtId="168" fontId="24" fillId="20" borderId="0" xfId="0" applyNumberFormat="1" applyFont="1" applyFill="1" applyAlignment="1">
      <alignment horizontal="center" vertical="center"/>
    </xf>
    <xf numFmtId="0" fontId="3" fillId="20" borderId="21" xfId="0" applyFont="1" applyFill="1" applyBorder="1" applyAlignment="1">
      <alignment horizontal="center" vertical="center"/>
    </xf>
    <xf numFmtId="0" fontId="3" fillId="20" borderId="20" xfId="0" applyFont="1" applyFill="1" applyBorder="1" applyAlignment="1">
      <alignment horizontal="center" vertical="center"/>
    </xf>
    <xf numFmtId="168" fontId="24" fillId="20" borderId="37" xfId="0" applyNumberFormat="1" applyFont="1" applyFill="1" applyBorder="1" applyAlignment="1">
      <alignment horizontal="center" vertical="center"/>
    </xf>
    <xf numFmtId="0" fontId="24" fillId="20" borderId="20" xfId="0" applyFont="1" applyFill="1" applyBorder="1" applyAlignment="1">
      <alignment horizontal="center" vertical="center"/>
    </xf>
    <xf numFmtId="168" fontId="24" fillId="20" borderId="21" xfId="0" applyNumberFormat="1" applyFont="1" applyFill="1" applyBorder="1" applyAlignment="1">
      <alignment horizontal="center" vertical="center"/>
    </xf>
    <xf numFmtId="168" fontId="3" fillId="20" borderId="20" xfId="0" applyNumberFormat="1" applyFont="1" applyFill="1" applyBorder="1" applyAlignment="1">
      <alignment horizontal="center" vertical="center"/>
    </xf>
    <xf numFmtId="169" fontId="24" fillId="6" borderId="37" xfId="0" applyNumberFormat="1" applyFont="1" applyFill="1" applyBorder="1" applyAlignment="1">
      <alignment horizontal="center" vertical="center"/>
    </xf>
    <xf numFmtId="0" fontId="3" fillId="6" borderId="0" xfId="0" applyFont="1" applyFill="1" applyAlignment="1">
      <alignment horizontal="center" vertical="center"/>
    </xf>
    <xf numFmtId="0" fontId="4" fillId="0" borderId="0" xfId="0" applyFont="1" applyAlignment="1">
      <alignment horizontal="center" vertical="center"/>
    </xf>
    <xf numFmtId="2" fontId="3" fillId="0" borderId="0" xfId="0" applyNumberFormat="1" applyFont="1" applyAlignment="1" applyProtection="1">
      <alignment horizontal="center"/>
      <protection locked="0" hidden="1"/>
    </xf>
    <xf numFmtId="2" fontId="3" fillId="0" borderId="0" xfId="0" applyNumberFormat="1" applyFont="1" applyAlignment="1" applyProtection="1">
      <alignment horizontal="center" vertical="center"/>
      <protection locked="0" hidden="1"/>
    </xf>
    <xf numFmtId="2" fontId="17" fillId="14" borderId="37" xfId="0" applyNumberFormat="1" applyFont="1" applyFill="1" applyBorder="1" applyAlignment="1" applyProtection="1">
      <alignment vertical="center"/>
      <protection hidden="1"/>
    </xf>
    <xf numFmtId="2" fontId="0" fillId="0" borderId="0" xfId="0" applyNumberFormat="1" applyProtection="1">
      <protection hidden="1"/>
    </xf>
    <xf numFmtId="2" fontId="3" fillId="0" borderId="0" xfId="0" applyNumberFormat="1" applyFont="1" applyAlignment="1" applyProtection="1">
      <alignment horizontal="center" vertical="center"/>
      <protection hidden="1"/>
    </xf>
    <xf numFmtId="2" fontId="0" fillId="0" borderId="0" xfId="0" applyNumberFormat="1"/>
    <xf numFmtId="2" fontId="17" fillId="0" borderId="0" xfId="0" applyNumberFormat="1" applyFont="1" applyAlignment="1" applyProtection="1">
      <alignment vertical="center"/>
      <protection hidden="1"/>
    </xf>
    <xf numFmtId="167" fontId="3" fillId="0" borderId="0" xfId="3" applyNumberFormat="1" applyFont="1" applyAlignment="1" applyProtection="1">
      <alignment horizontal="center" vertical="center"/>
    </xf>
    <xf numFmtId="167" fontId="3" fillId="0" borderId="0" xfId="2" applyNumberFormat="1" applyFont="1" applyAlignment="1" applyProtection="1">
      <alignment horizontal="center" vertical="center"/>
    </xf>
    <xf numFmtId="167" fontId="3" fillId="0" borderId="45" xfId="0" applyNumberFormat="1" applyFont="1" applyBorder="1" applyAlignment="1">
      <alignment horizontal="center" vertical="center"/>
    </xf>
    <xf numFmtId="167" fontId="3" fillId="0" borderId="0" xfId="0" applyNumberFormat="1" applyFont="1" applyAlignment="1">
      <alignment horizontal="center" vertical="center"/>
    </xf>
    <xf numFmtId="1" fontId="4" fillId="0" borderId="0" xfId="0" applyNumberFormat="1" applyFont="1" applyAlignment="1">
      <alignment horizontal="center" vertical="center"/>
    </xf>
    <xf numFmtId="0" fontId="3" fillId="0" borderId="0" xfId="0" applyFont="1" applyAlignment="1">
      <alignment horizontal="center" vertical="center" wrapText="1"/>
    </xf>
    <xf numFmtId="0" fontId="3" fillId="0" borderId="21" xfId="0" applyFont="1" applyBorder="1" applyAlignment="1">
      <alignment horizontal="center" vertical="center" wrapText="1"/>
    </xf>
    <xf numFmtId="0" fontId="3" fillId="0" borderId="37" xfId="0" applyFont="1" applyBorder="1" applyAlignment="1">
      <alignment horizontal="center" vertical="center" wrapText="1"/>
    </xf>
    <xf numFmtId="0" fontId="3" fillId="0" borderId="20" xfId="0" applyFont="1" applyBorder="1" applyAlignment="1">
      <alignment horizontal="center" vertical="center" wrapText="1"/>
    </xf>
    <xf numFmtId="16" fontId="3" fillId="0" borderId="37" xfId="0" applyNumberFormat="1" applyFont="1" applyBorder="1" applyAlignment="1">
      <alignment horizontal="center" vertical="center"/>
    </xf>
    <xf numFmtId="168" fontId="3" fillId="0" borderId="0" xfId="0" applyNumberFormat="1" applyFont="1" applyAlignment="1">
      <alignment horizontal="center" vertical="center"/>
    </xf>
    <xf numFmtId="168" fontId="24" fillId="0" borderId="0" xfId="0" applyNumberFormat="1" applyFont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168" fontId="24" fillId="0" borderId="37" xfId="0" applyNumberFormat="1" applyFont="1" applyBorder="1" applyAlignment="1">
      <alignment horizontal="center" vertical="center"/>
    </xf>
    <xf numFmtId="0" fontId="24" fillId="0" borderId="20" xfId="0" applyFont="1" applyBorder="1" applyAlignment="1">
      <alignment horizontal="center" vertical="center"/>
    </xf>
    <xf numFmtId="168" fontId="24" fillId="0" borderId="21" xfId="0" applyNumberFormat="1" applyFont="1" applyBorder="1" applyAlignment="1">
      <alignment horizontal="center" vertical="center"/>
    </xf>
    <xf numFmtId="168" fontId="3" fillId="0" borderId="20" xfId="0" applyNumberFormat="1" applyFont="1" applyBorder="1" applyAlignment="1">
      <alignment horizontal="center" vertical="center"/>
    </xf>
    <xf numFmtId="169" fontId="24" fillId="0" borderId="37" xfId="0" applyNumberFormat="1" applyFont="1" applyBorder="1" applyAlignment="1">
      <alignment horizontal="center" vertical="center"/>
    </xf>
    <xf numFmtId="0" fontId="22" fillId="6" borderId="21" xfId="0" applyFont="1" applyFill="1" applyBorder="1" applyAlignment="1" applyProtection="1">
      <alignment horizontal="center"/>
      <protection locked="0" hidden="1"/>
    </xf>
    <xf numFmtId="2" fontId="3" fillId="0" borderId="37" xfId="0" applyNumberFormat="1" applyFont="1" applyBorder="1" applyAlignment="1" applyProtection="1">
      <alignment horizontal="center"/>
      <protection locked="0" hidden="1"/>
    </xf>
    <xf numFmtId="0" fontId="38" fillId="0" borderId="7" xfId="0" applyFont="1" applyBorder="1" applyAlignment="1">
      <alignment wrapText="1"/>
    </xf>
    <xf numFmtId="0" fontId="2" fillId="18" borderId="38" xfId="0" applyFont="1" applyFill="1" applyBorder="1" applyAlignment="1" applyProtection="1">
      <alignment horizontal="center" vertical="center"/>
      <protection locked="0"/>
    </xf>
    <xf numFmtId="0" fontId="2" fillId="18" borderId="39" xfId="0" applyFont="1" applyFill="1" applyBorder="1" applyAlignment="1" applyProtection="1">
      <alignment horizontal="center" vertical="center"/>
      <protection locked="0"/>
    </xf>
    <xf numFmtId="0" fontId="2" fillId="18" borderId="37" xfId="0" applyFont="1" applyFill="1" applyBorder="1" applyAlignment="1" applyProtection="1">
      <alignment horizontal="center" vertical="center"/>
      <protection locked="0"/>
    </xf>
    <xf numFmtId="0" fontId="2" fillId="18" borderId="21" xfId="0" applyFont="1" applyFill="1" applyBorder="1" applyAlignment="1" applyProtection="1">
      <alignment horizontal="center" vertical="center"/>
      <protection locked="0"/>
    </xf>
    <xf numFmtId="0" fontId="2" fillId="18" borderId="35" xfId="0" applyFont="1" applyFill="1" applyBorder="1" applyAlignment="1" applyProtection="1">
      <alignment horizontal="center" vertical="center"/>
      <protection locked="0"/>
    </xf>
    <xf numFmtId="0" fontId="2" fillId="18" borderId="36" xfId="0" applyFont="1" applyFill="1" applyBorder="1" applyAlignment="1" applyProtection="1">
      <alignment horizontal="center" vertical="center"/>
      <protection locked="0"/>
    </xf>
    <xf numFmtId="0" fontId="2" fillId="4" borderId="2" xfId="0" applyFont="1" applyFill="1" applyBorder="1" applyAlignment="1" applyProtection="1">
      <alignment horizontal="center" vertical="center"/>
      <protection locked="0"/>
    </xf>
    <xf numFmtId="0" fontId="2" fillId="4" borderId="9" xfId="0" applyFont="1" applyFill="1" applyBorder="1" applyAlignment="1" applyProtection="1">
      <alignment horizontal="center" vertical="center"/>
      <protection locked="0"/>
    </xf>
    <xf numFmtId="0" fontId="2" fillId="4" borderId="4" xfId="0" applyFont="1" applyFill="1" applyBorder="1" applyAlignment="1" applyProtection="1">
      <alignment horizontal="center" vertical="center"/>
      <protection locked="0"/>
    </xf>
    <xf numFmtId="0" fontId="2" fillId="4" borderId="13" xfId="0" applyFont="1" applyFill="1" applyBorder="1" applyAlignment="1" applyProtection="1">
      <alignment horizontal="center" vertical="center"/>
      <protection locked="0"/>
    </xf>
    <xf numFmtId="0" fontId="18" fillId="0" borderId="7" xfId="0" applyFont="1" applyBorder="1" applyAlignment="1" applyProtection="1">
      <alignment horizontal="center" vertical="center" wrapText="1"/>
      <protection locked="0"/>
    </xf>
    <xf numFmtId="0" fontId="0" fillId="0" borderId="7" xfId="0" applyBorder="1" applyAlignment="1" applyProtection="1">
      <alignment horizontal="center" vertical="center" wrapText="1"/>
      <protection locked="0"/>
    </xf>
    <xf numFmtId="0" fontId="18" fillId="0" borderId="14" xfId="0" applyFont="1" applyBorder="1" applyAlignment="1" applyProtection="1">
      <alignment horizontal="center" vertical="center"/>
      <protection locked="0"/>
    </xf>
    <xf numFmtId="0" fontId="18" fillId="0" borderId="4" xfId="0" applyFont="1" applyBorder="1" applyAlignment="1" applyProtection="1">
      <alignment horizontal="center" vertical="center"/>
      <protection locked="0"/>
    </xf>
    <xf numFmtId="0" fontId="18" fillId="0" borderId="13" xfId="0" applyFont="1" applyBorder="1" applyAlignment="1" applyProtection="1">
      <alignment horizontal="center" vertical="center"/>
      <protection locked="0"/>
    </xf>
    <xf numFmtId="1" fontId="2" fillId="4" borderId="4" xfId="0" applyNumberFormat="1" applyFont="1" applyFill="1" applyBorder="1" applyAlignment="1" applyProtection="1">
      <alignment horizontal="center" vertical="center"/>
      <protection locked="0"/>
    </xf>
    <xf numFmtId="0" fontId="2" fillId="4" borderId="6" xfId="0" applyFont="1" applyFill="1" applyBorder="1" applyAlignment="1" applyProtection="1">
      <alignment horizontal="center" vertical="center"/>
      <protection locked="0"/>
    </xf>
    <xf numFmtId="0" fontId="2" fillId="4" borderId="16" xfId="0" applyFont="1" applyFill="1" applyBorder="1" applyAlignment="1" applyProtection="1">
      <alignment horizontal="center" vertical="center"/>
      <protection locked="0"/>
    </xf>
    <xf numFmtId="0" fontId="13" fillId="9" borderId="0" xfId="0" applyFont="1" applyFill="1" applyAlignment="1" applyProtection="1">
      <alignment horizontal="center" vertical="center" wrapText="1"/>
      <protection locked="0"/>
    </xf>
    <xf numFmtId="0" fontId="6" fillId="3" borderId="27" xfId="1" applyFont="1" applyFill="1" applyBorder="1" applyAlignment="1" applyProtection="1">
      <alignment horizontal="center" vertical="center"/>
      <protection locked="0"/>
    </xf>
    <xf numFmtId="0" fontId="6" fillId="3" borderId="28" xfId="1" applyFont="1" applyFill="1" applyBorder="1" applyAlignment="1" applyProtection="1">
      <alignment horizontal="center" vertical="center"/>
      <protection locked="0"/>
    </xf>
    <xf numFmtId="0" fontId="6" fillId="4" borderId="17" xfId="1" applyFont="1" applyFill="1" applyBorder="1" applyAlignment="1" applyProtection="1">
      <alignment horizontal="center" vertical="center"/>
      <protection locked="0"/>
    </xf>
    <xf numFmtId="0" fontId="6" fillId="4" borderId="16" xfId="1" applyFont="1" applyFill="1" applyBorder="1" applyAlignment="1" applyProtection="1">
      <alignment horizontal="center" vertical="center"/>
      <protection locked="0"/>
    </xf>
    <xf numFmtId="165" fontId="6" fillId="4" borderId="18" xfId="1" applyNumberFormat="1" applyFont="1" applyFill="1" applyBorder="1" applyAlignment="1" applyProtection="1">
      <alignment horizontal="center" vertical="center"/>
      <protection locked="0"/>
    </xf>
    <xf numFmtId="165" fontId="6" fillId="4" borderId="19" xfId="1" applyNumberFormat="1" applyFont="1" applyFill="1" applyBorder="1" applyAlignment="1" applyProtection="1">
      <alignment horizontal="center" vertical="center"/>
      <protection locked="0"/>
    </xf>
    <xf numFmtId="0" fontId="5" fillId="3" borderId="8" xfId="1" applyFont="1" applyFill="1" applyBorder="1" applyAlignment="1" applyProtection="1">
      <alignment horizontal="center" vertical="center"/>
      <protection locked="0"/>
    </xf>
    <xf numFmtId="0" fontId="5" fillId="3" borderId="9" xfId="1" applyFont="1" applyFill="1" applyBorder="1" applyAlignment="1" applyProtection="1">
      <alignment horizontal="center" vertical="center"/>
      <protection locked="0"/>
    </xf>
    <xf numFmtId="0" fontId="5" fillId="3" borderId="10" xfId="1" applyFont="1" applyFill="1" applyBorder="1" applyAlignment="1" applyProtection="1">
      <alignment horizontal="center" vertical="center"/>
      <protection locked="0"/>
    </xf>
    <xf numFmtId="0" fontId="5" fillId="3" borderId="11" xfId="1" applyFont="1" applyFill="1" applyBorder="1" applyAlignment="1" applyProtection="1">
      <alignment horizontal="center" vertical="center"/>
      <protection locked="0"/>
    </xf>
    <xf numFmtId="0" fontId="5" fillId="3" borderId="12" xfId="1" applyFont="1" applyFill="1" applyBorder="1" applyAlignment="1" applyProtection="1">
      <alignment horizontal="center" vertical="center"/>
      <protection locked="0"/>
    </xf>
    <xf numFmtId="0" fontId="6" fillId="3" borderId="4" xfId="1" applyFont="1" applyFill="1" applyBorder="1" applyAlignment="1" applyProtection="1">
      <alignment horizontal="center" vertical="center"/>
      <protection locked="0"/>
    </xf>
    <xf numFmtId="0" fontId="6" fillId="3" borderId="13" xfId="1" applyFont="1" applyFill="1" applyBorder="1" applyAlignment="1" applyProtection="1">
      <alignment horizontal="center" vertical="center"/>
      <protection locked="0"/>
    </xf>
    <xf numFmtId="0" fontId="6" fillId="4" borderId="14" xfId="1" applyFont="1" applyFill="1" applyBorder="1" applyAlignment="1" applyProtection="1">
      <alignment horizontal="center" vertical="center"/>
      <protection locked="0"/>
    </xf>
    <xf numFmtId="0" fontId="6" fillId="4" borderId="13" xfId="1" applyFont="1" applyFill="1" applyBorder="1" applyAlignment="1" applyProtection="1">
      <alignment horizontal="center" vertical="center"/>
      <protection locked="0"/>
    </xf>
    <xf numFmtId="165" fontId="6" fillId="4" borderId="7" xfId="1" applyNumberFormat="1" applyFont="1" applyFill="1" applyBorder="1" applyAlignment="1" applyProtection="1">
      <alignment horizontal="center" vertical="center"/>
      <protection locked="0"/>
    </xf>
    <xf numFmtId="165" fontId="6" fillId="4" borderId="15" xfId="1" applyNumberFormat="1" applyFont="1" applyFill="1" applyBorder="1" applyAlignment="1" applyProtection="1">
      <alignment horizontal="center" vertical="center"/>
      <protection locked="0"/>
    </xf>
    <xf numFmtId="0" fontId="20" fillId="8" borderId="29" xfId="0" applyFont="1" applyFill="1" applyBorder="1" applyAlignment="1" applyProtection="1">
      <alignment horizontal="center" vertical="center" wrapText="1"/>
      <protection locked="0" hidden="1"/>
    </xf>
    <xf numFmtId="0" fontId="20" fillId="8" borderId="30" xfId="0" applyFont="1" applyFill="1" applyBorder="1" applyAlignment="1" applyProtection="1">
      <alignment horizontal="center" vertical="center" wrapText="1"/>
      <protection locked="0" hidden="1"/>
    </xf>
    <xf numFmtId="166" fontId="23" fillId="2" borderId="8" xfId="0" applyNumberFormat="1" applyFont="1" applyFill="1" applyBorder="1" applyAlignment="1" applyProtection="1">
      <alignment horizontal="center" vertical="center"/>
      <protection locked="0" hidden="1"/>
    </xf>
    <xf numFmtId="166" fontId="23" fillId="2" borderId="2" xfId="0" applyNumberFormat="1" applyFont="1" applyFill="1" applyBorder="1" applyAlignment="1" applyProtection="1">
      <alignment horizontal="center" vertical="center"/>
      <protection locked="0" hidden="1"/>
    </xf>
    <xf numFmtId="166" fontId="23" fillId="2" borderId="9" xfId="0" applyNumberFormat="1" applyFont="1" applyFill="1" applyBorder="1" applyAlignment="1" applyProtection="1">
      <alignment horizontal="center" vertical="center"/>
      <protection locked="0" hidden="1"/>
    </xf>
    <xf numFmtId="0" fontId="26" fillId="6" borderId="31" xfId="0" applyFont="1" applyFill="1" applyBorder="1" applyAlignment="1" applyProtection="1">
      <alignment horizontal="center" vertical="center" wrapText="1"/>
      <protection hidden="1"/>
    </xf>
    <xf numFmtId="0" fontId="26" fillId="6" borderId="32" xfId="0" applyFont="1" applyFill="1" applyBorder="1" applyAlignment="1" applyProtection="1">
      <alignment horizontal="center" vertical="center" wrapText="1"/>
      <protection hidden="1"/>
    </xf>
    <xf numFmtId="0" fontId="26" fillId="6" borderId="10" xfId="0" applyFont="1" applyFill="1" applyBorder="1" applyAlignment="1" applyProtection="1">
      <alignment horizontal="center" vertical="center" wrapText="1"/>
      <protection hidden="1"/>
    </xf>
    <xf numFmtId="0" fontId="26" fillId="6" borderId="2" xfId="0" applyFont="1" applyFill="1" applyBorder="1" applyAlignment="1" applyProtection="1">
      <alignment horizontal="center" vertical="center" wrapText="1"/>
      <protection hidden="1"/>
    </xf>
    <xf numFmtId="0" fontId="26" fillId="6" borderId="9" xfId="0" applyFont="1" applyFill="1" applyBorder="1" applyAlignment="1" applyProtection="1">
      <alignment horizontal="center" vertical="center" wrapText="1"/>
      <protection hidden="1"/>
    </xf>
    <xf numFmtId="0" fontId="21" fillId="6" borderId="26" xfId="0" applyFont="1" applyFill="1" applyBorder="1" applyAlignment="1" applyProtection="1">
      <alignment horizontal="center" vertical="center" wrapText="1" shrinkToFit="1"/>
      <protection locked="0" hidden="1"/>
    </xf>
    <xf numFmtId="0" fontId="21" fillId="6" borderId="20" xfId="0" applyFont="1" applyFill="1" applyBorder="1" applyAlignment="1" applyProtection="1">
      <alignment horizontal="center" vertical="center" wrapText="1" shrinkToFit="1"/>
      <protection locked="0" hidden="1"/>
    </xf>
    <xf numFmtId="0" fontId="21" fillId="6" borderId="25" xfId="0" applyFont="1" applyFill="1" applyBorder="1" applyAlignment="1" applyProtection="1">
      <alignment horizontal="center" vertical="center" wrapText="1" shrinkToFit="1"/>
      <protection locked="0" hidden="1"/>
    </xf>
    <xf numFmtId="0" fontId="3" fillId="6" borderId="26" xfId="0" applyFont="1" applyFill="1" applyBorder="1" applyAlignment="1" applyProtection="1">
      <alignment horizontal="center" vertical="center" wrapText="1" shrinkToFit="1"/>
      <protection locked="0" hidden="1"/>
    </xf>
    <xf numFmtId="0" fontId="3" fillId="6" borderId="20" xfId="0" applyFont="1" applyFill="1" applyBorder="1" applyAlignment="1" applyProtection="1">
      <alignment horizontal="center" vertical="center" wrapText="1" shrinkToFit="1"/>
      <protection locked="0" hidden="1"/>
    </xf>
    <xf numFmtId="0" fontId="3" fillId="6" borderId="25" xfId="0" applyFont="1" applyFill="1" applyBorder="1" applyAlignment="1" applyProtection="1">
      <alignment horizontal="center" vertical="center" wrapText="1" shrinkToFit="1"/>
      <protection locked="0" hidden="1"/>
    </xf>
    <xf numFmtId="0" fontId="2" fillId="12" borderId="37" xfId="0" applyFont="1" applyFill="1" applyBorder="1" applyAlignment="1" applyProtection="1">
      <alignment horizontal="center" vertical="center"/>
      <protection hidden="1"/>
    </xf>
    <xf numFmtId="0" fontId="2" fillId="12" borderId="0" xfId="0" applyFont="1" applyFill="1" applyAlignment="1" applyProtection="1">
      <alignment horizontal="center" vertical="center"/>
      <protection hidden="1"/>
    </xf>
    <xf numFmtId="0" fontId="17" fillId="14" borderId="37" xfId="0" applyFont="1" applyFill="1" applyBorder="1" applyAlignment="1" applyProtection="1">
      <alignment horizontal="center" vertical="center"/>
      <protection hidden="1"/>
    </xf>
    <xf numFmtId="0" fontId="17" fillId="14" borderId="0" xfId="0" applyFont="1" applyFill="1" applyAlignment="1" applyProtection="1">
      <alignment horizontal="center" vertical="center"/>
      <protection hidden="1"/>
    </xf>
    <xf numFmtId="0" fontId="26" fillId="6" borderId="43" xfId="0" applyFont="1" applyFill="1" applyBorder="1" applyAlignment="1" applyProtection="1">
      <alignment horizontal="center" vertical="center" wrapText="1"/>
      <protection hidden="1"/>
    </xf>
    <xf numFmtId="0" fontId="26" fillId="6" borderId="44" xfId="0" applyFont="1" applyFill="1" applyBorder="1" applyAlignment="1" applyProtection="1">
      <alignment horizontal="center" vertical="center" wrapText="1"/>
      <protection hidden="1"/>
    </xf>
    <xf numFmtId="0" fontId="26" fillId="6" borderId="41" xfId="0" applyFont="1" applyFill="1" applyBorder="1" applyAlignment="1" applyProtection="1">
      <alignment horizontal="center" vertical="center" wrapText="1"/>
      <protection hidden="1"/>
    </xf>
    <xf numFmtId="0" fontId="4" fillId="9" borderId="7" xfId="0" applyFont="1" applyFill="1" applyBorder="1" applyAlignment="1" applyProtection="1">
      <alignment horizontal="center" vertical="center" textRotation="90" wrapText="1" shrinkToFit="1"/>
      <protection locked="0" hidden="1"/>
    </xf>
    <xf numFmtId="0" fontId="4" fillId="9" borderId="14" xfId="0" applyFont="1" applyFill="1" applyBorder="1" applyAlignment="1" applyProtection="1">
      <alignment horizontal="center" vertical="center" textRotation="90" wrapText="1" shrinkToFit="1"/>
      <protection locked="0" hidden="1"/>
    </xf>
    <xf numFmtId="0" fontId="29" fillId="0" borderId="0" xfId="0" applyFont="1" applyAlignment="1" applyProtection="1">
      <alignment horizontal="center" vertical="center" wrapText="1"/>
      <protection hidden="1"/>
    </xf>
    <xf numFmtId="0" fontId="4" fillId="19" borderId="53" xfId="0" applyFont="1" applyFill="1" applyBorder="1" applyAlignment="1">
      <alignment horizontal="center" vertical="center"/>
    </xf>
    <xf numFmtId="0" fontId="4" fillId="19" borderId="48" xfId="0" applyFont="1" applyFill="1" applyBorder="1" applyAlignment="1">
      <alignment horizontal="center" vertical="center"/>
    </xf>
    <xf numFmtId="0" fontId="4" fillId="19" borderId="49" xfId="0" applyFont="1" applyFill="1" applyBorder="1" applyAlignment="1">
      <alignment horizontal="center" vertical="center"/>
    </xf>
    <xf numFmtId="0" fontId="4" fillId="19" borderId="46" xfId="0" applyFont="1" applyFill="1" applyBorder="1" applyAlignment="1">
      <alignment horizontal="center" vertical="center"/>
    </xf>
    <xf numFmtId="0" fontId="31" fillId="0" borderId="0" xfId="0" applyFont="1" applyAlignment="1" applyProtection="1">
      <alignment horizontal="center" vertical="center"/>
      <protection hidden="1"/>
    </xf>
    <xf numFmtId="0" fontId="33" fillId="0" borderId="0" xfId="0" applyFont="1" applyAlignment="1" applyProtection="1">
      <alignment horizontal="center" vertical="center"/>
      <protection hidden="1"/>
    </xf>
    <xf numFmtId="0" fontId="4" fillId="0" borderId="0" xfId="0" applyFont="1" applyAlignment="1" applyProtection="1">
      <alignment horizontal="center"/>
      <protection hidden="1"/>
    </xf>
    <xf numFmtId="0" fontId="32" fillId="0" borderId="0" xfId="0" applyFont="1" applyAlignment="1" applyProtection="1">
      <alignment horizontal="center" vertical="center"/>
      <protection hidden="1"/>
    </xf>
    <xf numFmtId="0" fontId="4" fillId="9" borderId="7" xfId="0" applyFont="1" applyFill="1" applyBorder="1" applyAlignment="1" applyProtection="1">
      <alignment horizontal="center" vertical="center" textRotation="90" wrapText="1" shrinkToFit="1"/>
      <protection hidden="1"/>
    </xf>
    <xf numFmtId="0" fontId="4" fillId="9" borderId="14" xfId="0" applyFont="1" applyFill="1" applyBorder="1" applyAlignment="1" applyProtection="1">
      <alignment horizontal="center" vertical="center" textRotation="90" wrapText="1" shrinkToFit="1"/>
      <protection hidden="1"/>
    </xf>
    <xf numFmtId="0" fontId="7" fillId="5" borderId="20" xfId="0" applyFont="1" applyFill="1" applyBorder="1" applyAlignment="1">
      <alignment horizontal="center" vertical="center" wrapText="1"/>
    </xf>
    <xf numFmtId="0" fontId="7" fillId="5" borderId="22" xfId="0" applyFont="1" applyFill="1" applyBorder="1" applyAlignment="1">
      <alignment horizontal="center" vertical="center" wrapText="1"/>
    </xf>
    <xf numFmtId="0" fontId="12" fillId="5" borderId="21" xfId="0" applyFont="1" applyFill="1" applyBorder="1" applyAlignment="1">
      <alignment horizontal="center" vertical="center" wrapText="1"/>
    </xf>
    <xf numFmtId="0" fontId="12" fillId="5" borderId="23" xfId="0" applyFont="1" applyFill="1" applyBorder="1" applyAlignment="1">
      <alignment horizontal="center" vertical="center" wrapText="1"/>
    </xf>
    <xf numFmtId="0" fontId="7" fillId="6" borderId="7" xfId="0" applyFont="1" applyFill="1" applyBorder="1" applyAlignment="1">
      <alignment horizontal="center" vertical="center" wrapText="1"/>
    </xf>
  </cellXfs>
  <cellStyles count="4">
    <cellStyle name="Hipervínculo" xfId="1" builtinId="8"/>
    <cellStyle name="Moneda" xfId="3" builtinId="4"/>
    <cellStyle name="Normal" xfId="0" builtinId="0"/>
    <cellStyle name="Porcentaje" xfId="2" builtinId="5"/>
  </cellStyles>
  <dxfs count="426"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&quot;&quot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/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" formatCode="0"/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none">
          <fgColor indexed="64"/>
          <bgColor auto="1"/>
        </patternFill>
      </fill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indent="0" justifyLastLine="0" readingOrder="0"/>
      <protection locked="1" hidden="1"/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b/>
        <i val="0"/>
        <color rgb="FFC00000"/>
      </font>
      <fill>
        <patternFill>
          <bgColor theme="5" tint="0.39994506668294322"/>
        </patternFill>
      </fill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protection locked="1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9" formatCode="&quot;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2" formatCode="0.00"/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9" formatCode="&quot;&quot;"/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0" hidden="1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protection locked="1" hidden="1"/>
    </dxf>
    <dxf>
      <font>
        <strike val="0"/>
        <outline val="0"/>
        <shadow val="0"/>
        <u val="none"/>
        <vertAlign val="baseline"/>
        <sz val="12"/>
        <color theme="1"/>
      </font>
      <numFmt numFmtId="2" formatCode="0.00"/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numFmt numFmtId="2" formatCode="0.00"/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0"/>
        <name val="Calibri"/>
        <family val="2"/>
        <scheme val="minor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numFmt numFmtId="2" formatCode="0.00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outline="0">
        <left style="thin">
          <color auto="1"/>
        </left>
        <right/>
      </border>
      <protection locked="0" hidden="1"/>
    </dxf>
    <dxf>
      <font>
        <strike val="0"/>
        <outline val="0"/>
        <shadow val="0"/>
        <u val="none"/>
        <vertAlign val="baseline"/>
        <sz val="12"/>
        <color theme="0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bottom" textRotation="0" wrapText="0" indent="0" justifyLastLine="0" shrinkToFit="0" readingOrder="0"/>
      <border outline="0">
        <right style="thin">
          <color auto="1"/>
        </right>
      </border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numFmt numFmtId="1" formatCode="0"/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  <protection locked="0" hidden="1"/>
    </dxf>
    <dxf>
      <font>
        <strike val="0"/>
        <outline val="0"/>
        <shadow val="0"/>
        <u val="none"/>
        <vertAlign val="baseline"/>
        <sz val="12"/>
        <color theme="1"/>
      </font>
      <alignment horizontal="center" vertical="bottom" textRotation="0" wrapText="0" indent="0" justifyLastLine="0" shrinkToFit="0" readingOrder="0"/>
      <protection locked="0" hidden="1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bottom" textRotation="0" wrapText="0" indent="0" justifyLastLine="0" shrinkToFit="0" readingOrder="0"/>
      <protection locked="1" hidden="1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9" formatCode="&quot;&quot;"/>
      <fill>
        <patternFill patternType="solid">
          <fgColor indexed="64"/>
          <bgColor theme="0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auto="1"/>
        </left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/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1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168" formatCode=";;;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/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right style="thin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 style="thin">
          <color indexed="64"/>
        </lef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border diagonalUp="0" diagonalDown="0">
        <left/>
        <right style="thin">
          <color indexed="64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center" vertical="center" textRotation="0" wrapText="1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indent="0" justifyLastLine="0" readingOrder="0"/>
      <protection locked="1" hidden="1"/>
    </dxf>
    <dxf>
      <font>
        <b/>
        <i val="0"/>
        <color theme="1"/>
      </font>
      <fill>
        <patternFill>
          <bgColor rgb="FFFFFF00"/>
        </patternFill>
      </fill>
    </dxf>
    <dxf>
      <font>
        <b/>
        <i val="0"/>
        <color theme="1"/>
      </font>
      <fill>
        <patternFill>
          <bgColor rgb="FF92D050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b/>
        <i val="0"/>
        <color rgb="FFC00000"/>
      </font>
      <fill>
        <patternFill>
          <bgColor theme="5" tint="0.39994506668294322"/>
        </patternFill>
      </fill>
    </dxf>
    <dxf>
      <font>
        <b/>
        <i val="0"/>
      </font>
      <fill>
        <patternFill>
          <bgColor theme="9" tint="-0.24994659260841701"/>
        </patternFill>
      </fill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border diagonalUp="0" diagonalDown="0" outline="0">
        <left/>
        <right style="thick">
          <color auto="1"/>
        </right>
        <top/>
        <bottom/>
      </border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67" formatCode="0.0"/>
      <alignment horizontal="center" vertical="center" textRotation="0" wrapText="0" indent="0" justifyLastLine="0" shrinkToFit="0" readingOrder="0"/>
      <protection locked="1" hidden="0"/>
    </dxf>
    <dxf>
      <font>
        <b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numFmt numFmtId="1" formatCode="0"/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wrapText="0" indent="0" justifyLastLine="0" shrinkToFit="0" readingOrder="0"/>
      <protection locked="1" hidden="0"/>
    </dxf>
    <dxf>
      <font>
        <b val="0"/>
        <i val="0"/>
        <strike val="0"/>
        <outline val="0"/>
        <shadow val="0"/>
        <u val="none"/>
        <vertAlign val="baseline"/>
        <sz val="12"/>
        <color theme="1"/>
        <name val="Arial"/>
        <family val="2"/>
        <scheme val="none"/>
      </font>
      <alignment horizontal="center" vertical="center" textRotation="0" indent="0" justifyLastLine="0" shrinkToFit="0" readingOrder="0"/>
      <protection locked="0" hidden="0"/>
    </dxf>
    <dxf>
      <font>
        <color rgb="FF9C5700"/>
      </font>
      <fill>
        <patternFill>
          <bgColor rgb="FFFFEB9C"/>
        </patternFill>
      </fill>
    </dxf>
    <dxf>
      <fill>
        <patternFill>
          <bgColor rgb="FF92D050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1"/>
      </font>
      <fill>
        <patternFill>
          <bgColor theme="6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</dxfs>
  <tableStyles count="0" defaultTableStyle="TableStyleMedium9" defaultPivotStyle="PivotStyleLight16"/>
  <colors>
    <mruColors>
      <color rgb="FFCCECFF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26" Type="http://schemas.microsoft.com/office/2011/relationships/webextension" Target="../webextensions/webextension23.xml"/><Relationship Id="rId21" Type="http://schemas.microsoft.com/office/2011/relationships/webextension" Target="../webextensions/webextension19.xml"/><Relationship Id="rId42" Type="http://schemas.microsoft.com/office/2011/relationships/webextension" Target="../webextensions/webextension39.xml"/><Relationship Id="rId47" Type="http://schemas.microsoft.com/office/2011/relationships/webextension" Target="../webextensions/webextension44.xml"/><Relationship Id="rId63" Type="http://schemas.microsoft.com/office/2011/relationships/webextension" Target="../webextensions/webextension59.xml"/><Relationship Id="rId68" Type="http://schemas.microsoft.com/office/2011/relationships/webextension" Target="../webextensions/webextension64.xml"/><Relationship Id="rId84" Type="http://schemas.microsoft.com/office/2011/relationships/webextension" Target="../webextensions/webextension80.xml"/><Relationship Id="rId89" Type="http://schemas.microsoft.com/office/2011/relationships/webextension" Target="../webextensions/webextension85.xml"/><Relationship Id="rId16" Type="http://schemas.microsoft.com/office/2011/relationships/webextension" Target="../webextensions/webextension14.xml"/><Relationship Id="rId11" Type="http://schemas.microsoft.com/office/2011/relationships/webextension" Target="../webextensions/webextension9.xml"/><Relationship Id="rId32" Type="http://schemas.microsoft.com/office/2011/relationships/webextension" Target="../webextensions/webextension29.xml"/><Relationship Id="rId37" Type="http://schemas.microsoft.com/office/2011/relationships/webextension" Target="../webextensions/webextension34.xml"/><Relationship Id="rId53" Type="http://schemas.microsoft.com/office/2011/relationships/webextension" Target="../webextensions/webextension50.xml"/><Relationship Id="rId58" Type="http://schemas.microsoft.com/office/2011/relationships/webextension" Target="../webextensions/webextension55.xml"/><Relationship Id="rId74" Type="http://schemas.microsoft.com/office/2011/relationships/webextension" Target="../webextensions/webextension70.xml"/><Relationship Id="rId79" Type="http://schemas.microsoft.com/office/2011/relationships/webextension" Target="../webextensions/webextension75.xml"/><Relationship Id="rId5" Type="http://schemas.microsoft.com/office/2011/relationships/webextension" Target="../webextensions/webextension3.xml"/><Relationship Id="rId90" Type="http://schemas.microsoft.com/office/2011/relationships/webextension" Target="../webextensions/webextension86.xml"/><Relationship Id="rId95" Type="http://schemas.microsoft.com/office/2011/relationships/webextension" Target="../webextensions/webextension91.xml"/><Relationship Id="rId22" Type="http://schemas.microsoft.com/office/2011/relationships/webextension" Target="../webextensions/webextension20.xml"/><Relationship Id="rId27" Type="http://schemas.microsoft.com/office/2011/relationships/webextension" Target="../webextensions/webextension24.xml"/><Relationship Id="rId43" Type="http://schemas.microsoft.com/office/2011/relationships/webextension" Target="../webextensions/webextension40.xml"/><Relationship Id="rId48" Type="http://schemas.microsoft.com/office/2011/relationships/webextension" Target="../webextensions/webextension45.xml"/><Relationship Id="rId64" Type="http://schemas.microsoft.com/office/2011/relationships/webextension" Target="../webextensions/webextension60.xml"/><Relationship Id="rId69" Type="http://schemas.microsoft.com/office/2011/relationships/webextension" Target="../webextensions/webextension65.xml"/><Relationship Id="rId80" Type="http://schemas.microsoft.com/office/2011/relationships/webextension" Target="../webextensions/webextension76.xml"/><Relationship Id="rId85" Type="http://schemas.microsoft.com/office/2011/relationships/webextension" Target="../webextensions/webextension81.xml"/><Relationship Id="rId3" Type="http://schemas.microsoft.com/office/2011/relationships/webextension" Target="../webextensions/webextension2.xml"/><Relationship Id="rId12" Type="http://schemas.microsoft.com/office/2011/relationships/webextension" Target="../webextensions/webextension10.xml"/><Relationship Id="rId17" Type="http://schemas.microsoft.com/office/2011/relationships/webextension" Target="../webextensions/webextension15.xml"/><Relationship Id="rId25" Type="http://schemas.microsoft.com/office/2011/relationships/webextension" Target="../webextensions/webextension22.xml"/><Relationship Id="rId33" Type="http://schemas.microsoft.com/office/2011/relationships/webextension" Target="../webextensions/webextension30.xml"/><Relationship Id="rId38" Type="http://schemas.microsoft.com/office/2011/relationships/webextension" Target="../webextensions/webextension35.xml"/><Relationship Id="rId46" Type="http://schemas.microsoft.com/office/2011/relationships/webextension" Target="../webextensions/webextension43.xml"/><Relationship Id="rId59" Type="http://schemas.microsoft.com/office/2011/relationships/webextension" Target="../webextensions/webextension56.xml"/><Relationship Id="rId67" Type="http://schemas.microsoft.com/office/2011/relationships/webextension" Target="../webextensions/webextension63.xml"/><Relationship Id="rId20" Type="http://schemas.microsoft.com/office/2011/relationships/webextension" Target="../webextensions/webextension18.xml"/><Relationship Id="rId41" Type="http://schemas.microsoft.com/office/2011/relationships/webextension" Target="../webextensions/webextension38.xml"/><Relationship Id="rId54" Type="http://schemas.microsoft.com/office/2011/relationships/webextension" Target="../webextensions/webextension51.xml"/><Relationship Id="rId62" Type="http://schemas.openxmlformats.org/officeDocument/2006/relationships/image" Target="../media/image4.png"/><Relationship Id="rId70" Type="http://schemas.microsoft.com/office/2011/relationships/webextension" Target="../webextensions/webextension66.xml"/><Relationship Id="rId75" Type="http://schemas.microsoft.com/office/2011/relationships/webextension" Target="../webextensions/webextension71.xml"/><Relationship Id="rId83" Type="http://schemas.microsoft.com/office/2011/relationships/webextension" Target="../webextensions/webextension79.xml"/><Relationship Id="rId88" Type="http://schemas.microsoft.com/office/2011/relationships/webextension" Target="../webextensions/webextension84.xml"/><Relationship Id="rId91" Type="http://schemas.microsoft.com/office/2011/relationships/webextension" Target="../webextensions/webextension87.xml"/><Relationship Id="rId96" Type="http://schemas.microsoft.com/office/2011/relationships/webextension" Target="../webextensions/webextension92.xml"/><Relationship Id="rId1" Type="http://schemas.microsoft.com/office/2011/relationships/webextension" Target="../webextensions/webextension1.xml"/><Relationship Id="rId6" Type="http://schemas.microsoft.com/office/2011/relationships/webextension" Target="../webextensions/webextension4.xml"/><Relationship Id="rId15" Type="http://schemas.microsoft.com/office/2011/relationships/webextension" Target="../webextensions/webextension13.xml"/><Relationship Id="rId23" Type="http://schemas.openxmlformats.org/officeDocument/2006/relationships/image" Target="../media/image3.png"/><Relationship Id="rId28" Type="http://schemas.microsoft.com/office/2011/relationships/webextension" Target="../webextensions/webextension25.xml"/><Relationship Id="rId36" Type="http://schemas.microsoft.com/office/2011/relationships/webextension" Target="../webextensions/webextension33.xml"/><Relationship Id="rId49" Type="http://schemas.microsoft.com/office/2011/relationships/webextension" Target="../webextensions/webextension46.xml"/><Relationship Id="rId57" Type="http://schemas.microsoft.com/office/2011/relationships/webextension" Target="../webextensions/webextension54.xml"/><Relationship Id="rId10" Type="http://schemas.microsoft.com/office/2011/relationships/webextension" Target="../webextensions/webextension8.xml"/><Relationship Id="rId31" Type="http://schemas.microsoft.com/office/2011/relationships/webextension" Target="../webextensions/webextension28.xml"/><Relationship Id="rId44" Type="http://schemas.microsoft.com/office/2011/relationships/webextension" Target="../webextensions/webextension41.xml"/><Relationship Id="rId52" Type="http://schemas.microsoft.com/office/2011/relationships/webextension" Target="../webextensions/webextension49.xml"/><Relationship Id="rId60" Type="http://schemas.microsoft.com/office/2011/relationships/webextension" Target="../webextensions/webextension57.xml"/><Relationship Id="rId65" Type="http://schemas.microsoft.com/office/2011/relationships/webextension" Target="../webextensions/webextension61.xml"/><Relationship Id="rId73" Type="http://schemas.microsoft.com/office/2011/relationships/webextension" Target="../webextensions/webextension69.xml"/><Relationship Id="rId78" Type="http://schemas.microsoft.com/office/2011/relationships/webextension" Target="../webextensions/webextension74.xml"/><Relationship Id="rId81" Type="http://schemas.microsoft.com/office/2011/relationships/webextension" Target="../webextensions/webextension77.xml"/><Relationship Id="rId86" Type="http://schemas.microsoft.com/office/2011/relationships/webextension" Target="../webextensions/webextension82.xml"/><Relationship Id="rId94" Type="http://schemas.microsoft.com/office/2011/relationships/webextension" Target="../webextensions/webextension90.xml"/><Relationship Id="rId99" Type="http://schemas.microsoft.com/office/2011/relationships/webextension" Target="../webextensions/webextension95.xml"/><Relationship Id="rId4" Type="http://schemas.openxmlformats.org/officeDocument/2006/relationships/image" Target="../media/image2.png"/><Relationship Id="rId9" Type="http://schemas.microsoft.com/office/2011/relationships/webextension" Target="../webextensions/webextension7.xml"/><Relationship Id="rId13" Type="http://schemas.microsoft.com/office/2011/relationships/webextension" Target="../webextensions/webextension11.xml"/><Relationship Id="rId18" Type="http://schemas.microsoft.com/office/2011/relationships/webextension" Target="../webextensions/webextension16.xml"/><Relationship Id="rId39" Type="http://schemas.microsoft.com/office/2011/relationships/webextension" Target="../webextensions/webextension36.xml"/><Relationship Id="rId34" Type="http://schemas.microsoft.com/office/2011/relationships/webextension" Target="../webextensions/webextension31.xml"/><Relationship Id="rId50" Type="http://schemas.microsoft.com/office/2011/relationships/webextension" Target="../webextensions/webextension47.xml"/><Relationship Id="rId55" Type="http://schemas.microsoft.com/office/2011/relationships/webextension" Target="../webextensions/webextension52.xml"/><Relationship Id="rId76" Type="http://schemas.microsoft.com/office/2011/relationships/webextension" Target="../webextensions/webextension72.xml"/><Relationship Id="rId97" Type="http://schemas.microsoft.com/office/2011/relationships/webextension" Target="../webextensions/webextension93.xml"/><Relationship Id="rId7" Type="http://schemas.microsoft.com/office/2011/relationships/webextension" Target="../webextensions/webextension5.xml"/><Relationship Id="rId71" Type="http://schemas.microsoft.com/office/2011/relationships/webextension" Target="../webextensions/webextension67.xml"/><Relationship Id="rId92" Type="http://schemas.microsoft.com/office/2011/relationships/webextension" Target="../webextensions/webextension88.xml"/><Relationship Id="rId2" Type="http://schemas.openxmlformats.org/officeDocument/2006/relationships/image" Target="../media/image1.png"/><Relationship Id="rId29" Type="http://schemas.microsoft.com/office/2011/relationships/webextension" Target="../webextensions/webextension26.xml"/><Relationship Id="rId24" Type="http://schemas.microsoft.com/office/2011/relationships/webextension" Target="../webextensions/webextension21.xml"/><Relationship Id="rId40" Type="http://schemas.microsoft.com/office/2011/relationships/webextension" Target="../webextensions/webextension37.xml"/><Relationship Id="rId45" Type="http://schemas.microsoft.com/office/2011/relationships/webextension" Target="../webextensions/webextension42.xml"/><Relationship Id="rId66" Type="http://schemas.microsoft.com/office/2011/relationships/webextension" Target="../webextensions/webextension62.xml"/><Relationship Id="rId87" Type="http://schemas.microsoft.com/office/2011/relationships/webextension" Target="../webextensions/webextension83.xml"/><Relationship Id="rId61" Type="http://schemas.microsoft.com/office/2011/relationships/webextension" Target="../webextensions/webextension58.xml"/><Relationship Id="rId82" Type="http://schemas.microsoft.com/office/2011/relationships/webextension" Target="../webextensions/webextension78.xml"/><Relationship Id="rId19" Type="http://schemas.microsoft.com/office/2011/relationships/webextension" Target="../webextensions/webextension17.xml"/><Relationship Id="rId14" Type="http://schemas.microsoft.com/office/2011/relationships/webextension" Target="../webextensions/webextension12.xml"/><Relationship Id="rId30" Type="http://schemas.microsoft.com/office/2011/relationships/webextension" Target="../webextensions/webextension27.xml"/><Relationship Id="rId35" Type="http://schemas.microsoft.com/office/2011/relationships/webextension" Target="../webextensions/webextension32.xml"/><Relationship Id="rId56" Type="http://schemas.microsoft.com/office/2011/relationships/webextension" Target="../webextensions/webextension53.xml"/><Relationship Id="rId77" Type="http://schemas.microsoft.com/office/2011/relationships/webextension" Target="../webextensions/webextension73.xml"/><Relationship Id="rId8" Type="http://schemas.microsoft.com/office/2011/relationships/webextension" Target="../webextensions/webextension6.xml"/><Relationship Id="rId51" Type="http://schemas.microsoft.com/office/2011/relationships/webextension" Target="../webextensions/webextension48.xml"/><Relationship Id="rId72" Type="http://schemas.microsoft.com/office/2011/relationships/webextension" Target="../webextensions/webextension68.xml"/><Relationship Id="rId93" Type="http://schemas.microsoft.com/office/2011/relationships/webextension" Target="../webextensions/webextension89.xml"/><Relationship Id="rId98" Type="http://schemas.microsoft.com/office/2011/relationships/webextension" Target="../webextensions/webextension94.xml"/></Relationships>
</file>

<file path=xl/drawings/_rels/drawing3.xml.rels><?xml version="1.0" encoding="UTF-8" standalone="yes"?>
<Relationships xmlns="http://schemas.openxmlformats.org/package/2006/relationships"><Relationship Id="rId8" Type="http://schemas.microsoft.com/office/2011/relationships/webextension" Target="../webextensions/webextension101.xml"/><Relationship Id="rId13" Type="http://schemas.microsoft.com/office/2011/relationships/webextension" Target="../webextensions/webextension106.xml"/><Relationship Id="rId18" Type="http://schemas.microsoft.com/office/2011/relationships/webextension" Target="../webextensions/webextension111.xml"/><Relationship Id="rId3" Type="http://schemas.microsoft.com/office/2011/relationships/webextension" Target="../webextensions/webextension97.xml"/><Relationship Id="rId21" Type="http://schemas.microsoft.com/office/2011/relationships/webextension" Target="../webextensions/webextension114.xml"/><Relationship Id="rId7" Type="http://schemas.microsoft.com/office/2011/relationships/webextension" Target="../webextensions/webextension100.xml"/><Relationship Id="rId12" Type="http://schemas.microsoft.com/office/2011/relationships/webextension" Target="../webextensions/webextension105.xml"/><Relationship Id="rId17" Type="http://schemas.microsoft.com/office/2011/relationships/webextension" Target="../webextensions/webextension110.xml"/><Relationship Id="rId2" Type="http://schemas.openxmlformats.org/officeDocument/2006/relationships/image" Target="../media/image5.png"/><Relationship Id="rId16" Type="http://schemas.microsoft.com/office/2011/relationships/webextension" Target="../webextensions/webextension109.xml"/><Relationship Id="rId20" Type="http://schemas.microsoft.com/office/2011/relationships/webextension" Target="../webextensions/webextension113.xml"/><Relationship Id="rId1" Type="http://schemas.microsoft.com/office/2011/relationships/webextension" Target="../webextensions/webextension96.xml"/><Relationship Id="rId6" Type="http://schemas.microsoft.com/office/2011/relationships/webextension" Target="../webextensions/webextension99.xml"/><Relationship Id="rId11" Type="http://schemas.microsoft.com/office/2011/relationships/webextension" Target="../webextensions/webextension104.xml"/><Relationship Id="rId5" Type="http://schemas.microsoft.com/office/2011/relationships/webextension" Target="../webextensions/webextension98.xml"/><Relationship Id="rId15" Type="http://schemas.microsoft.com/office/2011/relationships/webextension" Target="../webextensions/webextension108.xml"/><Relationship Id="rId10" Type="http://schemas.microsoft.com/office/2011/relationships/webextension" Target="../webextensions/webextension103.xml"/><Relationship Id="rId19" Type="http://schemas.microsoft.com/office/2011/relationships/webextension" Target="../webextensions/webextension112.xml"/><Relationship Id="rId4" Type="http://schemas.openxmlformats.org/officeDocument/2006/relationships/image" Target="../media/image2.png"/><Relationship Id="rId9" Type="http://schemas.microsoft.com/office/2011/relationships/webextension" Target="../webextensions/webextension102.xml"/><Relationship Id="rId14" Type="http://schemas.microsoft.com/office/2011/relationships/webextension" Target="../webextensions/webextension107.xml"/><Relationship Id="rId22" Type="http://schemas.microsoft.com/office/2011/relationships/webextension" Target="../webextensions/webextension115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hyperlink" Target="#Principal!A1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609600</xdr:colOff>
      <xdr:row>1</xdr:row>
      <xdr:rowOff>348342</xdr:rowOff>
    </xdr:from>
    <xdr:to>
      <xdr:col>4</xdr:col>
      <xdr:colOff>892628</xdr:colOff>
      <xdr:row>3</xdr:row>
      <xdr:rowOff>152400</xdr:rowOff>
    </xdr:to>
    <xdr:sp macro="[0]!SeleccionarImagen" textlink="">
      <xdr:nvSpPr>
        <xdr:cNvPr id="2" name="Rectangulo 1">
          <a:extLst>
            <a:ext uri="{FF2B5EF4-FFF2-40B4-BE49-F238E27FC236}">
              <a16:creationId xmlns:a16="http://schemas.microsoft.com/office/drawing/2014/main" id="{E27DB7B5-56E3-A2AA-335B-E97C26AA063B}"/>
            </a:ext>
          </a:extLst>
        </xdr:cNvPr>
        <xdr:cNvSpPr/>
      </xdr:nvSpPr>
      <xdr:spPr>
        <a:xfrm>
          <a:off x="6128657" y="729342"/>
          <a:ext cx="1709057" cy="566058"/>
        </a:xfrm>
        <a:prstGeom prst="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1">
              <a:latin typeface="Arial" panose="020B0604020202020204" pitchFamily="34" charset="0"/>
              <a:cs typeface="Arial" panose="020B0604020202020204" pitchFamily="34" charset="0"/>
            </a:rPr>
            <a:t>Seleccionar Imagen de Institución 📷</a:t>
          </a:r>
        </a:p>
      </xdr:txBody>
    </xdr:sp>
    <xdr:clientData/>
  </xdr:twoCellAnchor>
  <xdr:twoCellAnchor>
    <xdr:from>
      <xdr:col>3</xdr:col>
      <xdr:colOff>1382486</xdr:colOff>
      <xdr:row>3</xdr:row>
      <xdr:rowOff>315686</xdr:rowOff>
    </xdr:from>
    <xdr:to>
      <xdr:col>4</xdr:col>
      <xdr:colOff>1328057</xdr:colOff>
      <xdr:row>5</xdr:row>
      <xdr:rowOff>0</xdr:rowOff>
    </xdr:to>
    <xdr:sp macro="" textlink="">
      <xdr:nvSpPr>
        <xdr:cNvPr id="10243" name="Rectángulo 10242">
          <a:extLst>
            <a:ext uri="{FF2B5EF4-FFF2-40B4-BE49-F238E27FC236}">
              <a16:creationId xmlns:a16="http://schemas.microsoft.com/office/drawing/2014/main" id="{19882CE4-5456-F827-26FA-27780E48ED59}"/>
            </a:ext>
          </a:extLst>
        </xdr:cNvPr>
        <xdr:cNvSpPr/>
      </xdr:nvSpPr>
      <xdr:spPr>
        <a:xfrm>
          <a:off x="6901543" y="1458686"/>
          <a:ext cx="1371600" cy="446314"/>
        </a:xfrm>
        <a:prstGeom prst="rect">
          <a:avLst/>
        </a:prstGeom>
        <a:solidFill>
          <a:schemeClr val="accent1">
            <a:lumMod val="60000"/>
            <a:lumOff val="40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R" sz="1100"/>
        </a:p>
      </xdr:txBody>
    </xdr:sp>
    <xdr:clientData/>
  </xdr:twoCellAnchor>
  <xdr:twoCellAnchor>
    <xdr:from>
      <xdr:col>21</xdr:col>
      <xdr:colOff>794656</xdr:colOff>
      <xdr:row>13</xdr:row>
      <xdr:rowOff>10885</xdr:rowOff>
    </xdr:from>
    <xdr:to>
      <xdr:col>23</xdr:col>
      <xdr:colOff>43542</xdr:colOff>
      <xdr:row>14</xdr:row>
      <xdr:rowOff>152400</xdr:rowOff>
    </xdr:to>
    <xdr:sp macro="[0]!EliminarTodosSinBloqueo" textlink="">
      <xdr:nvSpPr>
        <xdr:cNvPr id="3" name="Rectángulo 2">
          <a:extLst>
            <a:ext uri="{FF2B5EF4-FFF2-40B4-BE49-F238E27FC236}">
              <a16:creationId xmlns:a16="http://schemas.microsoft.com/office/drawing/2014/main" id="{24F1F55F-84BD-7890-23C7-0843C9D70D19}"/>
            </a:ext>
          </a:extLst>
        </xdr:cNvPr>
        <xdr:cNvSpPr/>
      </xdr:nvSpPr>
      <xdr:spPr>
        <a:xfrm>
          <a:off x="31176685" y="3995056"/>
          <a:ext cx="2057400" cy="337458"/>
        </a:xfrm>
        <a:prstGeom prst="rect">
          <a:avLst/>
        </a:prstGeom>
        <a:solidFill>
          <a:srgbClr val="FF0000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R" sz="1200" b="1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Restablecer</a:t>
          </a:r>
          <a:r>
            <a:rPr lang="es-CR" sz="1200" b="1" baseline="0">
              <a:solidFill>
                <a:schemeClr val="bg1"/>
              </a:solidFill>
              <a:latin typeface="Arial" panose="020B0604020202020204" pitchFamily="34" charset="0"/>
              <a:cs typeface="Arial" panose="020B0604020202020204" pitchFamily="34" charset="0"/>
            </a:rPr>
            <a:t> Tabla</a:t>
          </a:r>
          <a:endParaRPr lang="es-CR" sz="1200" b="1">
            <a:solidFill>
              <a:schemeClr val="bg1"/>
            </a:solidFill>
            <a:latin typeface="Arial" panose="020B0604020202020204" pitchFamily="34" charset="0"/>
            <a:cs typeface="Arial" panose="020B0604020202020204" pitchFamily="34" charset="0"/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815340</xdr:colOff>
          <xdr:row>4</xdr:row>
          <xdr:rowOff>15240</xdr:rowOff>
        </xdr:from>
        <xdr:to>
          <xdr:col>4</xdr:col>
          <xdr:colOff>1318260</xdr:colOff>
          <xdr:row>4</xdr:row>
          <xdr:rowOff>365760</xdr:rowOff>
        </xdr:to>
        <xdr:sp macro="" textlink="">
          <xdr:nvSpPr>
            <xdr:cNvPr id="10241" name="Boton 1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id="{00000000-0008-0000-00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es-MX" sz="28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🔄️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122</xdr:col>
      <xdr:colOff>0</xdr:colOff>
      <xdr:row>6</xdr:row>
      <xdr:rowOff>25400</xdr:rowOff>
    </xdr:from>
    <xdr:to>
      <xdr:col>126</xdr:col>
      <xdr:colOff>791634</xdr:colOff>
      <xdr:row>8</xdr:row>
      <xdr:rowOff>645584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MiCalendario" hidden="1">
              <a:extLst>
                <a:ext uri="{FF2B5EF4-FFF2-40B4-BE49-F238E27FC236}">
                  <a16:creationId xmlns:a16="http://schemas.microsoft.com/office/drawing/2014/main" id="{568632AF-ECA9-4A64-8674-3E3045C1979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6" name="MiCalendario">
              <a:extLst>
                <a:ext uri="{FF2B5EF4-FFF2-40B4-BE49-F238E27FC236}">
                  <a16:creationId xmlns:a16="http://schemas.microsoft.com/office/drawing/2014/main" id="{568632AF-ECA9-4A64-8674-3E3045C19796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MiCalendario" hidden="1">
              <a:extLst>
                <a:ext uri="{FF2B5EF4-FFF2-40B4-BE49-F238E27FC236}">
                  <a16:creationId xmlns:a16="http://schemas.microsoft.com/office/drawing/2014/main" id="{ACDCA0C3-3956-4028-959D-1A04E391514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7" name="MiCalendario">
              <a:extLst>
                <a:ext uri="{FF2B5EF4-FFF2-40B4-BE49-F238E27FC236}">
                  <a16:creationId xmlns:a16="http://schemas.microsoft.com/office/drawing/2014/main" id="{ACDCA0C3-3956-4028-959D-1A04E391514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MiCalendario" hidden="1">
              <a:extLst>
                <a:ext uri="{FF2B5EF4-FFF2-40B4-BE49-F238E27FC236}">
                  <a16:creationId xmlns:a16="http://schemas.microsoft.com/office/drawing/2014/main" id="{115062DA-E7B3-497A-96CA-1CF5079CCB6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8" name="MiCalendario">
              <a:extLst>
                <a:ext uri="{FF2B5EF4-FFF2-40B4-BE49-F238E27FC236}">
                  <a16:creationId xmlns:a16="http://schemas.microsoft.com/office/drawing/2014/main" id="{115062DA-E7B3-497A-96CA-1CF5079CCB6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MiCalendario" hidden="1">
              <a:extLst>
                <a:ext uri="{FF2B5EF4-FFF2-40B4-BE49-F238E27FC236}">
                  <a16:creationId xmlns:a16="http://schemas.microsoft.com/office/drawing/2014/main" id="{03063B61-8574-49DB-9061-DAA0654E1E8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"/>
            </a:graphicData>
          </a:graphic>
        </xdr:graphicFrame>
      </mc:Choice>
      <mc:Fallback>
        <xdr:pic>
          <xdr:nvPicPr>
            <xdr:cNvPr id="9" name="MiCalendario">
              <a:extLst>
                <a:ext uri="{FF2B5EF4-FFF2-40B4-BE49-F238E27FC236}">
                  <a16:creationId xmlns:a16="http://schemas.microsoft.com/office/drawing/2014/main" id="{03063B61-8574-49DB-9061-DAA0654E1E8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MiCalendario" hidden="1">
              <a:extLst>
                <a:ext uri="{FF2B5EF4-FFF2-40B4-BE49-F238E27FC236}">
                  <a16:creationId xmlns:a16="http://schemas.microsoft.com/office/drawing/2014/main" id="{5324E926-2999-48EF-9EA9-01E766B9749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10" name="MiCalendario">
              <a:extLst>
                <a:ext uri="{FF2B5EF4-FFF2-40B4-BE49-F238E27FC236}">
                  <a16:creationId xmlns:a16="http://schemas.microsoft.com/office/drawing/2014/main" id="{5324E926-2999-48EF-9EA9-01E766B9749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MiCalendario" hidden="1">
              <a:extLst>
                <a:ext uri="{FF2B5EF4-FFF2-40B4-BE49-F238E27FC236}">
                  <a16:creationId xmlns:a16="http://schemas.microsoft.com/office/drawing/2014/main" id="{90810040-70A3-4A9B-8E75-77A200DDE15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"/>
            </a:graphicData>
          </a:graphic>
        </xdr:graphicFrame>
      </mc:Choice>
      <mc:Fallback>
        <xdr:pic>
          <xdr:nvPicPr>
            <xdr:cNvPr id="11" name="MiCalendario">
              <a:extLst>
                <a:ext uri="{FF2B5EF4-FFF2-40B4-BE49-F238E27FC236}">
                  <a16:creationId xmlns:a16="http://schemas.microsoft.com/office/drawing/2014/main" id="{90810040-70A3-4A9B-8E75-77A200DDE15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MiCalendario" hidden="1">
              <a:extLst>
                <a:ext uri="{FF2B5EF4-FFF2-40B4-BE49-F238E27FC236}">
                  <a16:creationId xmlns:a16="http://schemas.microsoft.com/office/drawing/2014/main" id="{7BEFC986-DA63-4A1B-949E-ABA216A95EB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12" name="MiCalendario">
              <a:extLst>
                <a:ext uri="{FF2B5EF4-FFF2-40B4-BE49-F238E27FC236}">
                  <a16:creationId xmlns:a16="http://schemas.microsoft.com/office/drawing/2014/main" id="{7BEFC986-DA63-4A1B-949E-ABA216A95EB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MiCalendario" hidden="1">
              <a:extLst>
                <a:ext uri="{FF2B5EF4-FFF2-40B4-BE49-F238E27FC236}">
                  <a16:creationId xmlns:a16="http://schemas.microsoft.com/office/drawing/2014/main" id="{2681D623-C77B-4E53-AAB7-B2146F4CEE0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0"/>
            </a:graphicData>
          </a:graphic>
        </xdr:graphicFrame>
      </mc:Choice>
      <mc:Fallback>
        <xdr:pic>
          <xdr:nvPicPr>
            <xdr:cNvPr id="13" name="MiCalendario">
              <a:extLst>
                <a:ext uri="{FF2B5EF4-FFF2-40B4-BE49-F238E27FC236}">
                  <a16:creationId xmlns:a16="http://schemas.microsoft.com/office/drawing/2014/main" id="{2681D623-C77B-4E53-AAB7-B2146F4CEE0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MiCalendario" hidden="1">
              <a:extLst>
                <a:ext uri="{FF2B5EF4-FFF2-40B4-BE49-F238E27FC236}">
                  <a16:creationId xmlns:a16="http://schemas.microsoft.com/office/drawing/2014/main" id="{B70CEF17-DCAB-4AC3-86B2-0CF39C2DBCC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14" name="MiCalendario">
              <a:extLst>
                <a:ext uri="{FF2B5EF4-FFF2-40B4-BE49-F238E27FC236}">
                  <a16:creationId xmlns:a16="http://schemas.microsoft.com/office/drawing/2014/main" id="{B70CEF17-DCAB-4AC3-86B2-0CF39C2DBCC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MiCalendario" hidden="1">
              <a:extLst>
                <a:ext uri="{FF2B5EF4-FFF2-40B4-BE49-F238E27FC236}">
                  <a16:creationId xmlns:a16="http://schemas.microsoft.com/office/drawing/2014/main" id="{02E1A727-3E92-43D4-89EB-40B141C5A19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2"/>
            </a:graphicData>
          </a:graphic>
        </xdr:graphicFrame>
      </mc:Choice>
      <mc:Fallback>
        <xdr:pic>
          <xdr:nvPicPr>
            <xdr:cNvPr id="15" name="MiCalendario">
              <a:extLst>
                <a:ext uri="{FF2B5EF4-FFF2-40B4-BE49-F238E27FC236}">
                  <a16:creationId xmlns:a16="http://schemas.microsoft.com/office/drawing/2014/main" id="{02E1A727-3E92-43D4-89EB-40B141C5A19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MiCalendario" hidden="1">
              <a:extLst>
                <a:ext uri="{FF2B5EF4-FFF2-40B4-BE49-F238E27FC236}">
                  <a16:creationId xmlns:a16="http://schemas.microsoft.com/office/drawing/2014/main" id="{03A14F55-2352-49E0-952C-5C5CA7C35DD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16" name="MiCalendario">
              <a:extLst>
                <a:ext uri="{FF2B5EF4-FFF2-40B4-BE49-F238E27FC236}">
                  <a16:creationId xmlns:a16="http://schemas.microsoft.com/office/drawing/2014/main" id="{03A14F55-2352-49E0-952C-5C5CA7C35DD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MiCalendario" hidden="1">
              <a:extLst>
                <a:ext uri="{FF2B5EF4-FFF2-40B4-BE49-F238E27FC236}">
                  <a16:creationId xmlns:a16="http://schemas.microsoft.com/office/drawing/2014/main" id="{3BE39113-0C1B-491C-80BF-12F1CDD5C96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17" name="MiCalendario">
              <a:extLst>
                <a:ext uri="{FF2B5EF4-FFF2-40B4-BE49-F238E27FC236}">
                  <a16:creationId xmlns:a16="http://schemas.microsoft.com/office/drawing/2014/main" id="{3BE39113-0C1B-491C-80BF-12F1CDD5C96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MiCalendario" hidden="1">
              <a:extLst>
                <a:ext uri="{FF2B5EF4-FFF2-40B4-BE49-F238E27FC236}">
                  <a16:creationId xmlns:a16="http://schemas.microsoft.com/office/drawing/2014/main" id="{9FFC0B5E-D925-4910-B01A-82E37F209B0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8" name="MiCalendario">
              <a:extLst>
                <a:ext uri="{FF2B5EF4-FFF2-40B4-BE49-F238E27FC236}">
                  <a16:creationId xmlns:a16="http://schemas.microsoft.com/office/drawing/2014/main" id="{9FFC0B5E-D925-4910-B01A-82E37F209B0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MiCalendario" hidden="1">
              <a:extLst>
                <a:ext uri="{FF2B5EF4-FFF2-40B4-BE49-F238E27FC236}">
                  <a16:creationId xmlns:a16="http://schemas.microsoft.com/office/drawing/2014/main" id="{95B47A72-B16B-42BE-B26C-B88DE8A68DF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6"/>
            </a:graphicData>
          </a:graphic>
        </xdr:graphicFrame>
      </mc:Choice>
      <mc:Fallback>
        <xdr:pic>
          <xdr:nvPicPr>
            <xdr:cNvPr id="19" name="MiCalendario">
              <a:extLst>
                <a:ext uri="{FF2B5EF4-FFF2-40B4-BE49-F238E27FC236}">
                  <a16:creationId xmlns:a16="http://schemas.microsoft.com/office/drawing/2014/main" id="{95B47A72-B16B-42BE-B26C-B88DE8A68DF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MiCalendario" hidden="1">
              <a:extLst>
                <a:ext uri="{FF2B5EF4-FFF2-40B4-BE49-F238E27FC236}">
                  <a16:creationId xmlns:a16="http://schemas.microsoft.com/office/drawing/2014/main" id="{DF1F4EE2-A6C7-4414-8A4C-F55AF992AA2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20" name="MiCalendario">
              <a:extLst>
                <a:ext uri="{FF2B5EF4-FFF2-40B4-BE49-F238E27FC236}">
                  <a16:creationId xmlns:a16="http://schemas.microsoft.com/office/drawing/2014/main" id="{DF1F4EE2-A6C7-4414-8A4C-F55AF992AA2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MiCalendario" hidden="1">
              <a:extLst>
                <a:ext uri="{FF2B5EF4-FFF2-40B4-BE49-F238E27FC236}">
                  <a16:creationId xmlns:a16="http://schemas.microsoft.com/office/drawing/2014/main" id="{0ACA18D6-2391-4E34-BE2B-F933194D2E3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21" name="MiCalendario">
              <a:extLst>
                <a:ext uri="{FF2B5EF4-FFF2-40B4-BE49-F238E27FC236}">
                  <a16:creationId xmlns:a16="http://schemas.microsoft.com/office/drawing/2014/main" id="{0ACA18D6-2391-4E34-BE2B-F933194D2E3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2" name="MiCalendario" hidden="1">
              <a:extLst>
                <a:ext uri="{FF2B5EF4-FFF2-40B4-BE49-F238E27FC236}">
                  <a16:creationId xmlns:a16="http://schemas.microsoft.com/office/drawing/2014/main" id="{684C8646-3857-4182-9511-445836BA968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22" name="MiCalendario">
              <a:extLst>
                <a:ext uri="{FF2B5EF4-FFF2-40B4-BE49-F238E27FC236}">
                  <a16:creationId xmlns:a16="http://schemas.microsoft.com/office/drawing/2014/main" id="{684C8646-3857-4182-9511-445836BA968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3" name="MiCalendario" hidden="1">
              <a:extLst>
                <a:ext uri="{FF2B5EF4-FFF2-40B4-BE49-F238E27FC236}">
                  <a16:creationId xmlns:a16="http://schemas.microsoft.com/office/drawing/2014/main" id="{A5717749-4F2C-4D0C-A930-5447766AD91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23" name="MiCalendario">
              <a:extLst>
                <a:ext uri="{FF2B5EF4-FFF2-40B4-BE49-F238E27FC236}">
                  <a16:creationId xmlns:a16="http://schemas.microsoft.com/office/drawing/2014/main" id="{A5717749-4F2C-4D0C-A930-5447766AD91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4" name="MiCalendario" hidden="1">
              <a:extLst>
                <a:ext uri="{FF2B5EF4-FFF2-40B4-BE49-F238E27FC236}">
                  <a16:creationId xmlns:a16="http://schemas.microsoft.com/office/drawing/2014/main" id="{267BC664-0C5B-4B92-B2AC-F5DC2DAD920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24" name="MiCalendario">
              <a:extLst>
                <a:ext uri="{FF2B5EF4-FFF2-40B4-BE49-F238E27FC236}">
                  <a16:creationId xmlns:a16="http://schemas.microsoft.com/office/drawing/2014/main" id="{267BC664-0C5B-4B92-B2AC-F5DC2DAD920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763270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MiCalendario" hidden="1">
              <a:extLst>
                <a:ext uri="{FF2B5EF4-FFF2-40B4-BE49-F238E27FC236}">
                  <a16:creationId xmlns:a16="http://schemas.microsoft.com/office/drawing/2014/main" id="{F4BC27E6-3C28-40A2-AEEE-F4BB2CA052D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2" name="MiCalendario">
              <a:extLst>
                <a:ext uri="{FF2B5EF4-FFF2-40B4-BE49-F238E27FC236}">
                  <a16:creationId xmlns:a16="http://schemas.microsoft.com/office/drawing/2014/main" id="{F4BC27E6-3C28-40A2-AEEE-F4BB2CA052D9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MiCalendario" hidden="1">
              <a:extLst>
                <a:ext uri="{FF2B5EF4-FFF2-40B4-BE49-F238E27FC236}">
                  <a16:creationId xmlns:a16="http://schemas.microsoft.com/office/drawing/2014/main" id="{3DC4A639-367C-4FD2-8A99-5795162A885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4"/>
            </a:graphicData>
          </a:graphic>
        </xdr:graphicFrame>
      </mc:Choice>
      <mc:Fallback>
        <xdr:pic>
          <xdr:nvPicPr>
            <xdr:cNvPr id="3" name="MiCalendario">
              <a:extLst>
                <a:ext uri="{FF2B5EF4-FFF2-40B4-BE49-F238E27FC236}">
                  <a16:creationId xmlns:a16="http://schemas.microsoft.com/office/drawing/2014/main" id="{3DC4A639-367C-4FD2-8A99-5795162A88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MiCalendario" hidden="1">
              <a:extLst>
                <a:ext uri="{FF2B5EF4-FFF2-40B4-BE49-F238E27FC236}">
                  <a16:creationId xmlns:a16="http://schemas.microsoft.com/office/drawing/2014/main" id="{FB1736C5-4AA0-4D41-B1CD-84F8D5B84BD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5"/>
            </a:graphicData>
          </a:graphic>
        </xdr:graphicFrame>
      </mc:Choice>
      <mc:Fallback>
        <xdr:pic>
          <xdr:nvPicPr>
            <xdr:cNvPr id="4" name="MiCalendario">
              <a:extLst>
                <a:ext uri="{FF2B5EF4-FFF2-40B4-BE49-F238E27FC236}">
                  <a16:creationId xmlns:a16="http://schemas.microsoft.com/office/drawing/2014/main" id="{FB1736C5-4AA0-4D41-B1CD-84F8D5B84BD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MiCalendario" hidden="1">
              <a:extLst>
                <a:ext uri="{FF2B5EF4-FFF2-40B4-BE49-F238E27FC236}">
                  <a16:creationId xmlns:a16="http://schemas.microsoft.com/office/drawing/2014/main" id="{69609EEB-D256-4380-AF23-D11F8010295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6"/>
            </a:graphicData>
          </a:graphic>
        </xdr:graphicFrame>
      </mc:Choice>
      <mc:Fallback>
        <xdr:pic>
          <xdr:nvPicPr>
            <xdr:cNvPr id="5" name="MiCalendario">
              <a:extLst>
                <a:ext uri="{FF2B5EF4-FFF2-40B4-BE49-F238E27FC236}">
                  <a16:creationId xmlns:a16="http://schemas.microsoft.com/office/drawing/2014/main" id="{69609EEB-D256-4380-AF23-D11F8010295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5" name="MiCalendario" hidden="1">
              <a:extLst>
                <a:ext uri="{FF2B5EF4-FFF2-40B4-BE49-F238E27FC236}">
                  <a16:creationId xmlns:a16="http://schemas.microsoft.com/office/drawing/2014/main" id="{F5EA4C82-DD3D-4492-A1BF-A32C2CA79F6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7"/>
            </a:graphicData>
          </a:graphic>
        </xdr:graphicFrame>
      </mc:Choice>
      <mc:Fallback>
        <xdr:pic>
          <xdr:nvPicPr>
            <xdr:cNvPr id="25" name="MiCalendario">
              <a:extLst>
                <a:ext uri="{FF2B5EF4-FFF2-40B4-BE49-F238E27FC236}">
                  <a16:creationId xmlns:a16="http://schemas.microsoft.com/office/drawing/2014/main" id="{F5EA4C82-DD3D-4492-A1BF-A32C2CA79F6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6" name="MiCalendario" hidden="1">
              <a:extLst>
                <a:ext uri="{FF2B5EF4-FFF2-40B4-BE49-F238E27FC236}">
                  <a16:creationId xmlns:a16="http://schemas.microsoft.com/office/drawing/2014/main" id="{5D877570-D51D-4645-9A84-0BAEA29AE99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8"/>
            </a:graphicData>
          </a:graphic>
        </xdr:graphicFrame>
      </mc:Choice>
      <mc:Fallback>
        <xdr:pic>
          <xdr:nvPicPr>
            <xdr:cNvPr id="26" name="MiCalendario">
              <a:extLst>
                <a:ext uri="{FF2B5EF4-FFF2-40B4-BE49-F238E27FC236}">
                  <a16:creationId xmlns:a16="http://schemas.microsoft.com/office/drawing/2014/main" id="{5D877570-D51D-4645-9A84-0BAEA29AE99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7" name="MiCalendario" hidden="1">
              <a:extLst>
                <a:ext uri="{FF2B5EF4-FFF2-40B4-BE49-F238E27FC236}">
                  <a16:creationId xmlns:a16="http://schemas.microsoft.com/office/drawing/2014/main" id="{A42636AC-4448-4932-9616-7893C1B1EC9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9"/>
            </a:graphicData>
          </a:graphic>
        </xdr:graphicFrame>
      </mc:Choice>
      <mc:Fallback>
        <xdr:pic>
          <xdr:nvPicPr>
            <xdr:cNvPr id="27" name="MiCalendario">
              <a:extLst>
                <a:ext uri="{FF2B5EF4-FFF2-40B4-BE49-F238E27FC236}">
                  <a16:creationId xmlns:a16="http://schemas.microsoft.com/office/drawing/2014/main" id="{A42636AC-4448-4932-9616-7893C1B1EC9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8" name="MiCalendario" hidden="1">
              <a:extLst>
                <a:ext uri="{FF2B5EF4-FFF2-40B4-BE49-F238E27FC236}">
                  <a16:creationId xmlns:a16="http://schemas.microsoft.com/office/drawing/2014/main" id="{8B9BC2EA-856E-430B-8573-09B3EFB36CD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0"/>
            </a:graphicData>
          </a:graphic>
        </xdr:graphicFrame>
      </mc:Choice>
      <mc:Fallback>
        <xdr:pic>
          <xdr:nvPicPr>
            <xdr:cNvPr id="28" name="MiCalendario">
              <a:extLst>
                <a:ext uri="{FF2B5EF4-FFF2-40B4-BE49-F238E27FC236}">
                  <a16:creationId xmlns:a16="http://schemas.microsoft.com/office/drawing/2014/main" id="{8B9BC2EA-856E-430B-8573-09B3EFB36CD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9" name="MiCalendario" hidden="1">
              <a:extLst>
                <a:ext uri="{FF2B5EF4-FFF2-40B4-BE49-F238E27FC236}">
                  <a16:creationId xmlns:a16="http://schemas.microsoft.com/office/drawing/2014/main" id="{2E02C388-CAAC-48C3-B47A-E524E4F2E5A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1"/>
            </a:graphicData>
          </a:graphic>
        </xdr:graphicFrame>
      </mc:Choice>
      <mc:Fallback>
        <xdr:pic>
          <xdr:nvPicPr>
            <xdr:cNvPr id="29" name="MiCalendario">
              <a:extLst>
                <a:ext uri="{FF2B5EF4-FFF2-40B4-BE49-F238E27FC236}">
                  <a16:creationId xmlns:a16="http://schemas.microsoft.com/office/drawing/2014/main" id="{2E02C388-CAAC-48C3-B47A-E524E4F2E5A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0" name="MiCalendario" hidden="1">
              <a:extLst>
                <a:ext uri="{FF2B5EF4-FFF2-40B4-BE49-F238E27FC236}">
                  <a16:creationId xmlns:a16="http://schemas.microsoft.com/office/drawing/2014/main" id="{B46EA0A2-2203-4AFC-BB5F-F6941CD3654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2"/>
            </a:graphicData>
          </a:graphic>
        </xdr:graphicFrame>
      </mc:Choice>
      <mc:Fallback>
        <xdr:pic>
          <xdr:nvPicPr>
            <xdr:cNvPr id="30" name="MiCalendario">
              <a:extLst>
                <a:ext uri="{FF2B5EF4-FFF2-40B4-BE49-F238E27FC236}">
                  <a16:creationId xmlns:a16="http://schemas.microsoft.com/office/drawing/2014/main" id="{B46EA0A2-2203-4AFC-BB5F-F6941CD365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1" name="MiCalendario" hidden="1">
              <a:extLst>
                <a:ext uri="{FF2B5EF4-FFF2-40B4-BE49-F238E27FC236}">
                  <a16:creationId xmlns:a16="http://schemas.microsoft.com/office/drawing/2014/main" id="{6EE6C6C1-B860-4AE5-96BE-742D473258E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3"/>
            </a:graphicData>
          </a:graphic>
        </xdr:graphicFrame>
      </mc:Choice>
      <mc:Fallback>
        <xdr:pic>
          <xdr:nvPicPr>
            <xdr:cNvPr id="31" name="MiCalendario">
              <a:extLst>
                <a:ext uri="{FF2B5EF4-FFF2-40B4-BE49-F238E27FC236}">
                  <a16:creationId xmlns:a16="http://schemas.microsoft.com/office/drawing/2014/main" id="{6EE6C6C1-B860-4AE5-96BE-742D473258E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2" name="MiCalendario" hidden="1">
              <a:extLst>
                <a:ext uri="{FF2B5EF4-FFF2-40B4-BE49-F238E27FC236}">
                  <a16:creationId xmlns:a16="http://schemas.microsoft.com/office/drawing/2014/main" id="{495BB99A-F3F8-44FF-97AA-108066D3326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4"/>
            </a:graphicData>
          </a:graphic>
        </xdr:graphicFrame>
      </mc:Choice>
      <mc:Fallback>
        <xdr:pic>
          <xdr:nvPicPr>
            <xdr:cNvPr id="32" name="MiCalendario">
              <a:extLst>
                <a:ext uri="{FF2B5EF4-FFF2-40B4-BE49-F238E27FC236}">
                  <a16:creationId xmlns:a16="http://schemas.microsoft.com/office/drawing/2014/main" id="{495BB99A-F3F8-44FF-97AA-108066D3326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3" name="MiCalendario" hidden="1">
              <a:extLst>
                <a:ext uri="{FF2B5EF4-FFF2-40B4-BE49-F238E27FC236}">
                  <a16:creationId xmlns:a16="http://schemas.microsoft.com/office/drawing/2014/main" id="{14C333C6-5683-42DC-8F7A-76DD4FA16AD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5"/>
            </a:graphicData>
          </a:graphic>
        </xdr:graphicFrame>
      </mc:Choice>
      <mc:Fallback>
        <xdr:pic>
          <xdr:nvPicPr>
            <xdr:cNvPr id="33" name="MiCalendario">
              <a:extLst>
                <a:ext uri="{FF2B5EF4-FFF2-40B4-BE49-F238E27FC236}">
                  <a16:creationId xmlns:a16="http://schemas.microsoft.com/office/drawing/2014/main" id="{14C333C6-5683-42DC-8F7A-76DD4FA16AD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4" name="MiCalendario" hidden="1">
              <a:extLst>
                <a:ext uri="{FF2B5EF4-FFF2-40B4-BE49-F238E27FC236}">
                  <a16:creationId xmlns:a16="http://schemas.microsoft.com/office/drawing/2014/main" id="{98E56AB4-28D6-4B4B-8546-F444FC8B173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6"/>
            </a:graphicData>
          </a:graphic>
        </xdr:graphicFrame>
      </mc:Choice>
      <mc:Fallback>
        <xdr:pic>
          <xdr:nvPicPr>
            <xdr:cNvPr id="34" name="MiCalendario">
              <a:extLst>
                <a:ext uri="{FF2B5EF4-FFF2-40B4-BE49-F238E27FC236}">
                  <a16:creationId xmlns:a16="http://schemas.microsoft.com/office/drawing/2014/main" id="{98E56AB4-28D6-4B4B-8546-F444FC8B173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5" name="MiCalendario" hidden="1">
              <a:extLst>
                <a:ext uri="{FF2B5EF4-FFF2-40B4-BE49-F238E27FC236}">
                  <a16:creationId xmlns:a16="http://schemas.microsoft.com/office/drawing/2014/main" id="{0D9B28B5-4CCE-4CDC-866D-C74283098E8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7"/>
            </a:graphicData>
          </a:graphic>
        </xdr:graphicFrame>
      </mc:Choice>
      <mc:Fallback>
        <xdr:pic>
          <xdr:nvPicPr>
            <xdr:cNvPr id="35" name="MiCalendario">
              <a:extLst>
                <a:ext uri="{FF2B5EF4-FFF2-40B4-BE49-F238E27FC236}">
                  <a16:creationId xmlns:a16="http://schemas.microsoft.com/office/drawing/2014/main" id="{0D9B28B5-4CCE-4CDC-866D-C74283098E8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6" name="MiCalendario" hidden="1">
              <a:extLst>
                <a:ext uri="{FF2B5EF4-FFF2-40B4-BE49-F238E27FC236}">
                  <a16:creationId xmlns:a16="http://schemas.microsoft.com/office/drawing/2014/main" id="{B68953FB-4F00-4DA5-A03C-D8F19B7EFFB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8"/>
            </a:graphicData>
          </a:graphic>
        </xdr:graphicFrame>
      </mc:Choice>
      <mc:Fallback>
        <xdr:pic>
          <xdr:nvPicPr>
            <xdr:cNvPr id="36" name="MiCalendario">
              <a:extLst>
                <a:ext uri="{FF2B5EF4-FFF2-40B4-BE49-F238E27FC236}">
                  <a16:creationId xmlns:a16="http://schemas.microsoft.com/office/drawing/2014/main" id="{B68953FB-4F00-4DA5-A03C-D8F19B7EFFB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7" name="MiCalendario" hidden="1">
              <a:extLst>
                <a:ext uri="{FF2B5EF4-FFF2-40B4-BE49-F238E27FC236}">
                  <a16:creationId xmlns:a16="http://schemas.microsoft.com/office/drawing/2014/main" id="{07203A43-86A0-4BC0-B70F-C0CB4DAEC75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9"/>
            </a:graphicData>
          </a:graphic>
        </xdr:graphicFrame>
      </mc:Choice>
      <mc:Fallback>
        <xdr:pic>
          <xdr:nvPicPr>
            <xdr:cNvPr id="37" name="MiCalendario">
              <a:extLst>
                <a:ext uri="{FF2B5EF4-FFF2-40B4-BE49-F238E27FC236}">
                  <a16:creationId xmlns:a16="http://schemas.microsoft.com/office/drawing/2014/main" id="{07203A43-86A0-4BC0-B70F-C0CB4DAEC75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8" name="MiCalendario" hidden="1">
              <a:extLst>
                <a:ext uri="{FF2B5EF4-FFF2-40B4-BE49-F238E27FC236}">
                  <a16:creationId xmlns:a16="http://schemas.microsoft.com/office/drawing/2014/main" id="{10C96BD1-CC73-4480-AE3A-4AB8E768C54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0"/>
            </a:graphicData>
          </a:graphic>
        </xdr:graphicFrame>
      </mc:Choice>
      <mc:Fallback>
        <xdr:pic>
          <xdr:nvPicPr>
            <xdr:cNvPr id="38" name="MiCalendario">
              <a:extLst>
                <a:ext uri="{FF2B5EF4-FFF2-40B4-BE49-F238E27FC236}">
                  <a16:creationId xmlns:a16="http://schemas.microsoft.com/office/drawing/2014/main" id="{10C96BD1-CC73-4480-AE3A-4AB8E768C54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9" name="MiCalendario" hidden="1">
              <a:extLst>
                <a:ext uri="{FF2B5EF4-FFF2-40B4-BE49-F238E27FC236}">
                  <a16:creationId xmlns:a16="http://schemas.microsoft.com/office/drawing/2014/main" id="{E5929A6F-258B-42B7-A585-DA308F70630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1"/>
            </a:graphicData>
          </a:graphic>
        </xdr:graphicFrame>
      </mc:Choice>
      <mc:Fallback>
        <xdr:pic>
          <xdr:nvPicPr>
            <xdr:cNvPr id="39" name="MiCalendario">
              <a:extLst>
                <a:ext uri="{FF2B5EF4-FFF2-40B4-BE49-F238E27FC236}">
                  <a16:creationId xmlns:a16="http://schemas.microsoft.com/office/drawing/2014/main" id="{E5929A6F-258B-42B7-A585-DA308F70630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763270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0" name="MiCalendario" hidden="1">
              <a:extLst>
                <a:ext uri="{FF2B5EF4-FFF2-40B4-BE49-F238E27FC236}">
                  <a16:creationId xmlns:a16="http://schemas.microsoft.com/office/drawing/2014/main" id="{F88B6700-6A60-4FF4-96E5-896BBBADF4F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2"/>
            </a:graphicData>
          </a:graphic>
        </xdr:graphicFrame>
      </mc:Choice>
      <mc:Fallback>
        <xdr:pic>
          <xdr:nvPicPr>
            <xdr:cNvPr id="40" name="MiCalendario">
              <a:extLst>
                <a:ext uri="{FF2B5EF4-FFF2-40B4-BE49-F238E27FC236}">
                  <a16:creationId xmlns:a16="http://schemas.microsoft.com/office/drawing/2014/main" id="{F88B6700-6A60-4FF4-96E5-896BBBADF4F3}"/>
                </a:ext>
              </a:extLst>
            </xdr:cNvPr>
            <xdr:cNvPicPr/>
          </xdr:nvPicPr>
          <xdr:blipFill>
            <a:blip xmlns:r="http://schemas.openxmlformats.org/officeDocument/2006/relationships" r:embed="rId23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1" name="MiCalendario" hidden="1">
              <a:extLst>
                <a:ext uri="{FF2B5EF4-FFF2-40B4-BE49-F238E27FC236}">
                  <a16:creationId xmlns:a16="http://schemas.microsoft.com/office/drawing/2014/main" id="{E0FE0B33-C5FD-4369-B630-C5D93528B2B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3"/>
            </a:graphicData>
          </a:graphic>
        </xdr:graphicFrame>
      </mc:Choice>
      <mc:Fallback>
        <xdr:pic>
          <xdr:nvPicPr>
            <xdr:cNvPr id="41" name="MiCalendario">
              <a:extLst>
                <a:ext uri="{FF2B5EF4-FFF2-40B4-BE49-F238E27FC236}">
                  <a16:creationId xmlns:a16="http://schemas.microsoft.com/office/drawing/2014/main" id="{E0FE0B33-C5FD-4369-B630-C5D93528B2B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2" name="MiCalendario" hidden="1">
              <a:extLst>
                <a:ext uri="{FF2B5EF4-FFF2-40B4-BE49-F238E27FC236}">
                  <a16:creationId xmlns:a16="http://schemas.microsoft.com/office/drawing/2014/main" id="{E810936E-A047-4379-8953-4B7BBB75C60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4"/>
            </a:graphicData>
          </a:graphic>
        </xdr:graphicFrame>
      </mc:Choice>
      <mc:Fallback>
        <xdr:pic>
          <xdr:nvPicPr>
            <xdr:cNvPr id="42" name="MiCalendario">
              <a:extLst>
                <a:ext uri="{FF2B5EF4-FFF2-40B4-BE49-F238E27FC236}">
                  <a16:creationId xmlns:a16="http://schemas.microsoft.com/office/drawing/2014/main" id="{E810936E-A047-4379-8953-4B7BBB75C60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3" name="MiCalendario" hidden="1">
              <a:extLst>
                <a:ext uri="{FF2B5EF4-FFF2-40B4-BE49-F238E27FC236}">
                  <a16:creationId xmlns:a16="http://schemas.microsoft.com/office/drawing/2014/main" id="{A4243696-A86E-4F20-9698-CA32BD035E6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5"/>
            </a:graphicData>
          </a:graphic>
        </xdr:graphicFrame>
      </mc:Choice>
      <mc:Fallback>
        <xdr:pic>
          <xdr:nvPicPr>
            <xdr:cNvPr id="43" name="MiCalendario">
              <a:extLst>
                <a:ext uri="{FF2B5EF4-FFF2-40B4-BE49-F238E27FC236}">
                  <a16:creationId xmlns:a16="http://schemas.microsoft.com/office/drawing/2014/main" id="{A4243696-A86E-4F20-9698-CA32BD035E6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4" name="MiCalendario" hidden="1">
              <a:extLst>
                <a:ext uri="{FF2B5EF4-FFF2-40B4-BE49-F238E27FC236}">
                  <a16:creationId xmlns:a16="http://schemas.microsoft.com/office/drawing/2014/main" id="{CFF5653F-941E-4139-A739-47DA1E5C17D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6"/>
            </a:graphicData>
          </a:graphic>
        </xdr:graphicFrame>
      </mc:Choice>
      <mc:Fallback>
        <xdr:pic>
          <xdr:nvPicPr>
            <xdr:cNvPr id="44" name="MiCalendario">
              <a:extLst>
                <a:ext uri="{FF2B5EF4-FFF2-40B4-BE49-F238E27FC236}">
                  <a16:creationId xmlns:a16="http://schemas.microsoft.com/office/drawing/2014/main" id="{CFF5653F-941E-4139-A739-47DA1E5C17D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5" name="MiCalendario" hidden="1">
              <a:extLst>
                <a:ext uri="{FF2B5EF4-FFF2-40B4-BE49-F238E27FC236}">
                  <a16:creationId xmlns:a16="http://schemas.microsoft.com/office/drawing/2014/main" id="{C839378F-906E-4492-8A2C-5B1C8007AAE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7"/>
            </a:graphicData>
          </a:graphic>
        </xdr:graphicFrame>
      </mc:Choice>
      <mc:Fallback>
        <xdr:pic>
          <xdr:nvPicPr>
            <xdr:cNvPr id="45" name="MiCalendario">
              <a:extLst>
                <a:ext uri="{FF2B5EF4-FFF2-40B4-BE49-F238E27FC236}">
                  <a16:creationId xmlns:a16="http://schemas.microsoft.com/office/drawing/2014/main" id="{C839378F-906E-4492-8A2C-5B1C8007AAE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6" name="MiCalendario" hidden="1">
              <a:extLst>
                <a:ext uri="{FF2B5EF4-FFF2-40B4-BE49-F238E27FC236}">
                  <a16:creationId xmlns:a16="http://schemas.microsoft.com/office/drawing/2014/main" id="{1B8E3DA4-AD5D-4199-84A3-8629832B6CE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8"/>
            </a:graphicData>
          </a:graphic>
        </xdr:graphicFrame>
      </mc:Choice>
      <mc:Fallback>
        <xdr:pic>
          <xdr:nvPicPr>
            <xdr:cNvPr id="46" name="MiCalendario">
              <a:extLst>
                <a:ext uri="{FF2B5EF4-FFF2-40B4-BE49-F238E27FC236}">
                  <a16:creationId xmlns:a16="http://schemas.microsoft.com/office/drawing/2014/main" id="{1B8E3DA4-AD5D-4199-84A3-8629832B6CE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7" name="MiCalendario" hidden="1">
              <a:extLst>
                <a:ext uri="{FF2B5EF4-FFF2-40B4-BE49-F238E27FC236}">
                  <a16:creationId xmlns:a16="http://schemas.microsoft.com/office/drawing/2014/main" id="{32AA9C6A-8F39-46DB-8F56-55D8C3569AE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49"/>
            </a:graphicData>
          </a:graphic>
        </xdr:graphicFrame>
      </mc:Choice>
      <mc:Fallback>
        <xdr:pic>
          <xdr:nvPicPr>
            <xdr:cNvPr id="47" name="MiCalendario">
              <a:extLst>
                <a:ext uri="{FF2B5EF4-FFF2-40B4-BE49-F238E27FC236}">
                  <a16:creationId xmlns:a16="http://schemas.microsoft.com/office/drawing/2014/main" id="{32AA9C6A-8F39-46DB-8F56-55D8C3569AE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8" name="MiCalendario" hidden="1">
              <a:extLst>
                <a:ext uri="{FF2B5EF4-FFF2-40B4-BE49-F238E27FC236}">
                  <a16:creationId xmlns:a16="http://schemas.microsoft.com/office/drawing/2014/main" id="{47D2629D-B114-4085-B3C6-CC0EF727855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0"/>
            </a:graphicData>
          </a:graphic>
        </xdr:graphicFrame>
      </mc:Choice>
      <mc:Fallback>
        <xdr:pic>
          <xdr:nvPicPr>
            <xdr:cNvPr id="48" name="MiCalendario">
              <a:extLst>
                <a:ext uri="{FF2B5EF4-FFF2-40B4-BE49-F238E27FC236}">
                  <a16:creationId xmlns:a16="http://schemas.microsoft.com/office/drawing/2014/main" id="{47D2629D-B114-4085-B3C6-CC0EF727855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9" name="MiCalendario" hidden="1">
              <a:extLst>
                <a:ext uri="{FF2B5EF4-FFF2-40B4-BE49-F238E27FC236}">
                  <a16:creationId xmlns:a16="http://schemas.microsoft.com/office/drawing/2014/main" id="{281FA2A2-DC5D-465F-8109-F402A8100E4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1"/>
            </a:graphicData>
          </a:graphic>
        </xdr:graphicFrame>
      </mc:Choice>
      <mc:Fallback>
        <xdr:pic>
          <xdr:nvPicPr>
            <xdr:cNvPr id="49" name="MiCalendario">
              <a:extLst>
                <a:ext uri="{FF2B5EF4-FFF2-40B4-BE49-F238E27FC236}">
                  <a16:creationId xmlns:a16="http://schemas.microsoft.com/office/drawing/2014/main" id="{281FA2A2-DC5D-465F-8109-F402A8100E4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0" name="MiCalendario" hidden="1">
              <a:extLst>
                <a:ext uri="{FF2B5EF4-FFF2-40B4-BE49-F238E27FC236}">
                  <a16:creationId xmlns:a16="http://schemas.microsoft.com/office/drawing/2014/main" id="{70EDDA69-4036-42C4-A0C4-78F7463E67D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2"/>
            </a:graphicData>
          </a:graphic>
        </xdr:graphicFrame>
      </mc:Choice>
      <mc:Fallback>
        <xdr:pic>
          <xdr:nvPicPr>
            <xdr:cNvPr id="50" name="MiCalendario">
              <a:extLst>
                <a:ext uri="{FF2B5EF4-FFF2-40B4-BE49-F238E27FC236}">
                  <a16:creationId xmlns:a16="http://schemas.microsoft.com/office/drawing/2014/main" id="{70EDDA69-4036-42C4-A0C4-78F7463E67D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1" name="MiCalendario" hidden="1">
              <a:extLst>
                <a:ext uri="{FF2B5EF4-FFF2-40B4-BE49-F238E27FC236}">
                  <a16:creationId xmlns:a16="http://schemas.microsoft.com/office/drawing/2014/main" id="{034C1A41-F111-4C27-A5E0-A07C87DE304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3"/>
            </a:graphicData>
          </a:graphic>
        </xdr:graphicFrame>
      </mc:Choice>
      <mc:Fallback>
        <xdr:pic>
          <xdr:nvPicPr>
            <xdr:cNvPr id="51" name="MiCalendario">
              <a:extLst>
                <a:ext uri="{FF2B5EF4-FFF2-40B4-BE49-F238E27FC236}">
                  <a16:creationId xmlns:a16="http://schemas.microsoft.com/office/drawing/2014/main" id="{034C1A41-F111-4C27-A5E0-A07C87DE304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2" name="MiCalendario" hidden="1">
              <a:extLst>
                <a:ext uri="{FF2B5EF4-FFF2-40B4-BE49-F238E27FC236}">
                  <a16:creationId xmlns:a16="http://schemas.microsoft.com/office/drawing/2014/main" id="{81D4ECCB-F50E-4CFE-BEEE-DBD5768C127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4"/>
            </a:graphicData>
          </a:graphic>
        </xdr:graphicFrame>
      </mc:Choice>
      <mc:Fallback>
        <xdr:pic>
          <xdr:nvPicPr>
            <xdr:cNvPr id="52" name="MiCalendario">
              <a:extLst>
                <a:ext uri="{FF2B5EF4-FFF2-40B4-BE49-F238E27FC236}">
                  <a16:creationId xmlns:a16="http://schemas.microsoft.com/office/drawing/2014/main" id="{81D4ECCB-F50E-4CFE-BEEE-DBD5768C127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3" name="MiCalendario" hidden="1">
              <a:extLst>
                <a:ext uri="{FF2B5EF4-FFF2-40B4-BE49-F238E27FC236}">
                  <a16:creationId xmlns:a16="http://schemas.microsoft.com/office/drawing/2014/main" id="{F4CAFDDF-FA7D-4529-A70A-F8C8C7995F4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5"/>
            </a:graphicData>
          </a:graphic>
        </xdr:graphicFrame>
      </mc:Choice>
      <mc:Fallback>
        <xdr:pic>
          <xdr:nvPicPr>
            <xdr:cNvPr id="53" name="MiCalendario">
              <a:extLst>
                <a:ext uri="{FF2B5EF4-FFF2-40B4-BE49-F238E27FC236}">
                  <a16:creationId xmlns:a16="http://schemas.microsoft.com/office/drawing/2014/main" id="{F4CAFDDF-FA7D-4529-A70A-F8C8C7995F4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4" name="MiCalendario" hidden="1">
              <a:extLst>
                <a:ext uri="{FF2B5EF4-FFF2-40B4-BE49-F238E27FC236}">
                  <a16:creationId xmlns:a16="http://schemas.microsoft.com/office/drawing/2014/main" id="{37BDC29D-14C8-4ECC-818E-3ED5C4493ED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6"/>
            </a:graphicData>
          </a:graphic>
        </xdr:graphicFrame>
      </mc:Choice>
      <mc:Fallback>
        <xdr:pic>
          <xdr:nvPicPr>
            <xdr:cNvPr id="54" name="MiCalendario">
              <a:extLst>
                <a:ext uri="{FF2B5EF4-FFF2-40B4-BE49-F238E27FC236}">
                  <a16:creationId xmlns:a16="http://schemas.microsoft.com/office/drawing/2014/main" id="{37BDC29D-14C8-4ECC-818E-3ED5C4493ED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5" name="MiCalendario" hidden="1">
              <a:extLst>
                <a:ext uri="{FF2B5EF4-FFF2-40B4-BE49-F238E27FC236}">
                  <a16:creationId xmlns:a16="http://schemas.microsoft.com/office/drawing/2014/main" id="{7037B086-D8A8-4447-8DC9-435F1F2217D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7"/>
            </a:graphicData>
          </a:graphic>
        </xdr:graphicFrame>
      </mc:Choice>
      <mc:Fallback>
        <xdr:pic>
          <xdr:nvPicPr>
            <xdr:cNvPr id="55" name="MiCalendario">
              <a:extLst>
                <a:ext uri="{FF2B5EF4-FFF2-40B4-BE49-F238E27FC236}">
                  <a16:creationId xmlns:a16="http://schemas.microsoft.com/office/drawing/2014/main" id="{7037B086-D8A8-4447-8DC9-435F1F2217D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6" name="MiCalendario" hidden="1">
              <a:extLst>
                <a:ext uri="{FF2B5EF4-FFF2-40B4-BE49-F238E27FC236}">
                  <a16:creationId xmlns:a16="http://schemas.microsoft.com/office/drawing/2014/main" id="{8972F422-B8A5-4AC2-8C29-BC610324A7E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8"/>
            </a:graphicData>
          </a:graphic>
        </xdr:graphicFrame>
      </mc:Choice>
      <mc:Fallback>
        <xdr:pic>
          <xdr:nvPicPr>
            <xdr:cNvPr id="56" name="MiCalendario">
              <a:extLst>
                <a:ext uri="{FF2B5EF4-FFF2-40B4-BE49-F238E27FC236}">
                  <a16:creationId xmlns:a16="http://schemas.microsoft.com/office/drawing/2014/main" id="{8972F422-B8A5-4AC2-8C29-BC610324A7E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7" name="MiCalendario" hidden="1">
              <a:extLst>
                <a:ext uri="{FF2B5EF4-FFF2-40B4-BE49-F238E27FC236}">
                  <a16:creationId xmlns:a16="http://schemas.microsoft.com/office/drawing/2014/main" id="{EFCC9CC7-DDE4-421C-8EF5-283FCD765F9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9"/>
            </a:graphicData>
          </a:graphic>
        </xdr:graphicFrame>
      </mc:Choice>
      <mc:Fallback>
        <xdr:pic>
          <xdr:nvPicPr>
            <xdr:cNvPr id="57" name="MiCalendario">
              <a:extLst>
                <a:ext uri="{FF2B5EF4-FFF2-40B4-BE49-F238E27FC236}">
                  <a16:creationId xmlns:a16="http://schemas.microsoft.com/office/drawing/2014/main" id="{EFCC9CC7-DDE4-421C-8EF5-283FCD765F9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8" name="MiCalendario" hidden="1">
              <a:extLst>
                <a:ext uri="{FF2B5EF4-FFF2-40B4-BE49-F238E27FC236}">
                  <a16:creationId xmlns:a16="http://schemas.microsoft.com/office/drawing/2014/main" id="{37AFE8CA-FC2D-4599-9483-29E17D22AEF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0"/>
            </a:graphicData>
          </a:graphic>
        </xdr:graphicFrame>
      </mc:Choice>
      <mc:Fallback>
        <xdr:pic>
          <xdr:nvPicPr>
            <xdr:cNvPr id="58" name="MiCalendario">
              <a:extLst>
                <a:ext uri="{FF2B5EF4-FFF2-40B4-BE49-F238E27FC236}">
                  <a16:creationId xmlns:a16="http://schemas.microsoft.com/office/drawing/2014/main" id="{37AFE8CA-FC2D-4599-9483-29E17D22AEF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763270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9" name="MiCalendario" hidden="1">
              <a:extLst>
                <a:ext uri="{FF2B5EF4-FFF2-40B4-BE49-F238E27FC236}">
                  <a16:creationId xmlns:a16="http://schemas.microsoft.com/office/drawing/2014/main" id="{ABC2CE3F-AF3F-4D03-ACD0-ACCE373D5E1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1"/>
            </a:graphicData>
          </a:graphic>
        </xdr:graphicFrame>
      </mc:Choice>
      <mc:Fallback>
        <xdr:pic>
          <xdr:nvPicPr>
            <xdr:cNvPr id="59" name="MiCalendario">
              <a:extLst>
                <a:ext uri="{FF2B5EF4-FFF2-40B4-BE49-F238E27FC236}">
                  <a16:creationId xmlns:a16="http://schemas.microsoft.com/office/drawing/2014/main" id="{ABC2CE3F-AF3F-4D03-ACD0-ACCE373D5E19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0" name="MiCalendario" hidden="1">
              <a:extLst>
                <a:ext uri="{FF2B5EF4-FFF2-40B4-BE49-F238E27FC236}">
                  <a16:creationId xmlns:a16="http://schemas.microsoft.com/office/drawing/2014/main" id="{CAD13C63-4219-4002-B144-E9DBA906881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3"/>
            </a:graphicData>
          </a:graphic>
        </xdr:graphicFrame>
      </mc:Choice>
      <mc:Fallback>
        <xdr:pic>
          <xdr:nvPicPr>
            <xdr:cNvPr id="60" name="MiCalendario">
              <a:extLst>
                <a:ext uri="{FF2B5EF4-FFF2-40B4-BE49-F238E27FC236}">
                  <a16:creationId xmlns:a16="http://schemas.microsoft.com/office/drawing/2014/main" id="{CAD13C63-4219-4002-B144-E9DBA906881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1" name="MiCalendario" hidden="1">
              <a:extLst>
                <a:ext uri="{FF2B5EF4-FFF2-40B4-BE49-F238E27FC236}">
                  <a16:creationId xmlns:a16="http://schemas.microsoft.com/office/drawing/2014/main" id="{A89913D9-CFC5-409F-87D6-E8BA0151B5A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4"/>
            </a:graphicData>
          </a:graphic>
        </xdr:graphicFrame>
      </mc:Choice>
      <mc:Fallback>
        <xdr:pic>
          <xdr:nvPicPr>
            <xdr:cNvPr id="61" name="MiCalendario">
              <a:extLst>
                <a:ext uri="{FF2B5EF4-FFF2-40B4-BE49-F238E27FC236}">
                  <a16:creationId xmlns:a16="http://schemas.microsoft.com/office/drawing/2014/main" id="{A89913D9-CFC5-409F-87D6-E8BA0151B5A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2" name="MiCalendario" hidden="1">
              <a:extLst>
                <a:ext uri="{FF2B5EF4-FFF2-40B4-BE49-F238E27FC236}">
                  <a16:creationId xmlns:a16="http://schemas.microsoft.com/office/drawing/2014/main" id="{F0E90B45-251B-410F-922E-18E6F561323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5"/>
            </a:graphicData>
          </a:graphic>
        </xdr:graphicFrame>
      </mc:Choice>
      <mc:Fallback>
        <xdr:pic>
          <xdr:nvPicPr>
            <xdr:cNvPr id="62" name="MiCalendario">
              <a:extLst>
                <a:ext uri="{FF2B5EF4-FFF2-40B4-BE49-F238E27FC236}">
                  <a16:creationId xmlns:a16="http://schemas.microsoft.com/office/drawing/2014/main" id="{F0E90B45-251B-410F-922E-18E6F561323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3" name="MiCalendario" hidden="1">
              <a:extLst>
                <a:ext uri="{FF2B5EF4-FFF2-40B4-BE49-F238E27FC236}">
                  <a16:creationId xmlns:a16="http://schemas.microsoft.com/office/drawing/2014/main" id="{7A47C8A3-5354-4A05-968F-39F88964077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6"/>
            </a:graphicData>
          </a:graphic>
        </xdr:graphicFrame>
      </mc:Choice>
      <mc:Fallback>
        <xdr:pic>
          <xdr:nvPicPr>
            <xdr:cNvPr id="63" name="MiCalendario">
              <a:extLst>
                <a:ext uri="{FF2B5EF4-FFF2-40B4-BE49-F238E27FC236}">
                  <a16:creationId xmlns:a16="http://schemas.microsoft.com/office/drawing/2014/main" id="{7A47C8A3-5354-4A05-968F-39F88964077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4" name="MiCalendario" hidden="1">
              <a:extLst>
                <a:ext uri="{FF2B5EF4-FFF2-40B4-BE49-F238E27FC236}">
                  <a16:creationId xmlns:a16="http://schemas.microsoft.com/office/drawing/2014/main" id="{3719291A-1648-41E5-83D0-C534BF8D4B0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7"/>
            </a:graphicData>
          </a:graphic>
        </xdr:graphicFrame>
      </mc:Choice>
      <mc:Fallback>
        <xdr:pic>
          <xdr:nvPicPr>
            <xdr:cNvPr id="64" name="MiCalendario">
              <a:extLst>
                <a:ext uri="{FF2B5EF4-FFF2-40B4-BE49-F238E27FC236}">
                  <a16:creationId xmlns:a16="http://schemas.microsoft.com/office/drawing/2014/main" id="{3719291A-1648-41E5-83D0-C534BF8D4B0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5" name="MiCalendario" hidden="1">
              <a:extLst>
                <a:ext uri="{FF2B5EF4-FFF2-40B4-BE49-F238E27FC236}">
                  <a16:creationId xmlns:a16="http://schemas.microsoft.com/office/drawing/2014/main" id="{B1F6454B-A6A4-4048-8C25-BE642822202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8"/>
            </a:graphicData>
          </a:graphic>
        </xdr:graphicFrame>
      </mc:Choice>
      <mc:Fallback>
        <xdr:pic>
          <xdr:nvPicPr>
            <xdr:cNvPr id="65" name="MiCalendario">
              <a:extLst>
                <a:ext uri="{FF2B5EF4-FFF2-40B4-BE49-F238E27FC236}">
                  <a16:creationId xmlns:a16="http://schemas.microsoft.com/office/drawing/2014/main" id="{B1F6454B-A6A4-4048-8C25-BE642822202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6" name="MiCalendario" hidden="1">
              <a:extLst>
                <a:ext uri="{FF2B5EF4-FFF2-40B4-BE49-F238E27FC236}">
                  <a16:creationId xmlns:a16="http://schemas.microsoft.com/office/drawing/2014/main" id="{4E2E22E5-0843-4CFE-8A2C-44AE06248F4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9"/>
            </a:graphicData>
          </a:graphic>
        </xdr:graphicFrame>
      </mc:Choice>
      <mc:Fallback>
        <xdr:pic>
          <xdr:nvPicPr>
            <xdr:cNvPr id="66" name="MiCalendario">
              <a:extLst>
                <a:ext uri="{FF2B5EF4-FFF2-40B4-BE49-F238E27FC236}">
                  <a16:creationId xmlns:a16="http://schemas.microsoft.com/office/drawing/2014/main" id="{4E2E22E5-0843-4CFE-8A2C-44AE06248F4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7" name="MiCalendario" hidden="1">
              <a:extLst>
                <a:ext uri="{FF2B5EF4-FFF2-40B4-BE49-F238E27FC236}">
                  <a16:creationId xmlns:a16="http://schemas.microsoft.com/office/drawing/2014/main" id="{61992199-6BE2-4614-BC3B-A4645334132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0"/>
            </a:graphicData>
          </a:graphic>
        </xdr:graphicFrame>
      </mc:Choice>
      <mc:Fallback>
        <xdr:pic>
          <xdr:nvPicPr>
            <xdr:cNvPr id="67" name="MiCalendario">
              <a:extLst>
                <a:ext uri="{FF2B5EF4-FFF2-40B4-BE49-F238E27FC236}">
                  <a16:creationId xmlns:a16="http://schemas.microsoft.com/office/drawing/2014/main" id="{61992199-6BE2-4614-BC3B-A4645334132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8" name="MiCalendario" hidden="1">
              <a:extLst>
                <a:ext uri="{FF2B5EF4-FFF2-40B4-BE49-F238E27FC236}">
                  <a16:creationId xmlns:a16="http://schemas.microsoft.com/office/drawing/2014/main" id="{78459D3A-E4B2-44B0-81B8-47356F07F39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1"/>
            </a:graphicData>
          </a:graphic>
        </xdr:graphicFrame>
      </mc:Choice>
      <mc:Fallback>
        <xdr:pic>
          <xdr:nvPicPr>
            <xdr:cNvPr id="68" name="MiCalendario">
              <a:extLst>
                <a:ext uri="{FF2B5EF4-FFF2-40B4-BE49-F238E27FC236}">
                  <a16:creationId xmlns:a16="http://schemas.microsoft.com/office/drawing/2014/main" id="{78459D3A-E4B2-44B0-81B8-47356F07F39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9" name="MiCalendario" hidden="1">
              <a:extLst>
                <a:ext uri="{FF2B5EF4-FFF2-40B4-BE49-F238E27FC236}">
                  <a16:creationId xmlns:a16="http://schemas.microsoft.com/office/drawing/2014/main" id="{6E02498C-4C64-404A-97B5-E50F2B941E2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2"/>
            </a:graphicData>
          </a:graphic>
        </xdr:graphicFrame>
      </mc:Choice>
      <mc:Fallback>
        <xdr:pic>
          <xdr:nvPicPr>
            <xdr:cNvPr id="69" name="MiCalendario">
              <a:extLst>
                <a:ext uri="{FF2B5EF4-FFF2-40B4-BE49-F238E27FC236}">
                  <a16:creationId xmlns:a16="http://schemas.microsoft.com/office/drawing/2014/main" id="{6E02498C-4C64-404A-97B5-E50F2B941E2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0" name="MiCalendario" hidden="1">
              <a:extLst>
                <a:ext uri="{FF2B5EF4-FFF2-40B4-BE49-F238E27FC236}">
                  <a16:creationId xmlns:a16="http://schemas.microsoft.com/office/drawing/2014/main" id="{5BD1D8A9-3E8E-4B18-8736-28B5B9BED06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3"/>
            </a:graphicData>
          </a:graphic>
        </xdr:graphicFrame>
      </mc:Choice>
      <mc:Fallback>
        <xdr:pic>
          <xdr:nvPicPr>
            <xdr:cNvPr id="70" name="MiCalendario">
              <a:extLst>
                <a:ext uri="{FF2B5EF4-FFF2-40B4-BE49-F238E27FC236}">
                  <a16:creationId xmlns:a16="http://schemas.microsoft.com/office/drawing/2014/main" id="{5BD1D8A9-3E8E-4B18-8736-28B5B9BED06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1" name="MiCalendario" hidden="1">
              <a:extLst>
                <a:ext uri="{FF2B5EF4-FFF2-40B4-BE49-F238E27FC236}">
                  <a16:creationId xmlns:a16="http://schemas.microsoft.com/office/drawing/2014/main" id="{57E8E270-0967-42CB-B355-BAE69F45530F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4"/>
            </a:graphicData>
          </a:graphic>
        </xdr:graphicFrame>
      </mc:Choice>
      <mc:Fallback>
        <xdr:pic>
          <xdr:nvPicPr>
            <xdr:cNvPr id="71" name="MiCalendario">
              <a:extLst>
                <a:ext uri="{FF2B5EF4-FFF2-40B4-BE49-F238E27FC236}">
                  <a16:creationId xmlns:a16="http://schemas.microsoft.com/office/drawing/2014/main" id="{57E8E270-0967-42CB-B355-BAE69F45530F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2" name="MiCalendario" hidden="1">
              <a:extLst>
                <a:ext uri="{FF2B5EF4-FFF2-40B4-BE49-F238E27FC236}">
                  <a16:creationId xmlns:a16="http://schemas.microsoft.com/office/drawing/2014/main" id="{D8F03CA8-319C-47C9-812D-B24D08F7555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5"/>
            </a:graphicData>
          </a:graphic>
        </xdr:graphicFrame>
      </mc:Choice>
      <mc:Fallback>
        <xdr:pic>
          <xdr:nvPicPr>
            <xdr:cNvPr id="72" name="MiCalendario">
              <a:extLst>
                <a:ext uri="{FF2B5EF4-FFF2-40B4-BE49-F238E27FC236}">
                  <a16:creationId xmlns:a16="http://schemas.microsoft.com/office/drawing/2014/main" id="{D8F03CA8-319C-47C9-812D-B24D08F7555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3" name="MiCalendario" hidden="1">
              <a:extLst>
                <a:ext uri="{FF2B5EF4-FFF2-40B4-BE49-F238E27FC236}">
                  <a16:creationId xmlns:a16="http://schemas.microsoft.com/office/drawing/2014/main" id="{653D5A73-AE67-48A9-9FA1-2019AF8AEF1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6"/>
            </a:graphicData>
          </a:graphic>
        </xdr:graphicFrame>
      </mc:Choice>
      <mc:Fallback>
        <xdr:pic>
          <xdr:nvPicPr>
            <xdr:cNvPr id="73" name="MiCalendario">
              <a:extLst>
                <a:ext uri="{FF2B5EF4-FFF2-40B4-BE49-F238E27FC236}">
                  <a16:creationId xmlns:a16="http://schemas.microsoft.com/office/drawing/2014/main" id="{653D5A73-AE67-48A9-9FA1-2019AF8AEF1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4" name="MiCalendario" hidden="1">
              <a:extLst>
                <a:ext uri="{FF2B5EF4-FFF2-40B4-BE49-F238E27FC236}">
                  <a16:creationId xmlns:a16="http://schemas.microsoft.com/office/drawing/2014/main" id="{1D295C06-3947-4139-BED0-C010E2ABD24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7"/>
            </a:graphicData>
          </a:graphic>
        </xdr:graphicFrame>
      </mc:Choice>
      <mc:Fallback>
        <xdr:pic>
          <xdr:nvPicPr>
            <xdr:cNvPr id="74" name="MiCalendario">
              <a:extLst>
                <a:ext uri="{FF2B5EF4-FFF2-40B4-BE49-F238E27FC236}">
                  <a16:creationId xmlns:a16="http://schemas.microsoft.com/office/drawing/2014/main" id="{1D295C06-3947-4139-BED0-C010E2ABD24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5" name="MiCalendario" hidden="1">
              <a:extLst>
                <a:ext uri="{FF2B5EF4-FFF2-40B4-BE49-F238E27FC236}">
                  <a16:creationId xmlns:a16="http://schemas.microsoft.com/office/drawing/2014/main" id="{2FA91A20-1F85-45E8-8C38-111DE6EE6BF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8"/>
            </a:graphicData>
          </a:graphic>
        </xdr:graphicFrame>
      </mc:Choice>
      <mc:Fallback>
        <xdr:pic>
          <xdr:nvPicPr>
            <xdr:cNvPr id="75" name="MiCalendario">
              <a:extLst>
                <a:ext uri="{FF2B5EF4-FFF2-40B4-BE49-F238E27FC236}">
                  <a16:creationId xmlns:a16="http://schemas.microsoft.com/office/drawing/2014/main" id="{2FA91A20-1F85-45E8-8C38-111DE6EE6BF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6" name="MiCalendario" hidden="1">
              <a:extLst>
                <a:ext uri="{FF2B5EF4-FFF2-40B4-BE49-F238E27FC236}">
                  <a16:creationId xmlns:a16="http://schemas.microsoft.com/office/drawing/2014/main" id="{C32A6244-AAB2-4A17-82C9-283D0D616D8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9"/>
            </a:graphicData>
          </a:graphic>
        </xdr:graphicFrame>
      </mc:Choice>
      <mc:Fallback>
        <xdr:pic>
          <xdr:nvPicPr>
            <xdr:cNvPr id="76" name="MiCalendario">
              <a:extLst>
                <a:ext uri="{FF2B5EF4-FFF2-40B4-BE49-F238E27FC236}">
                  <a16:creationId xmlns:a16="http://schemas.microsoft.com/office/drawing/2014/main" id="{C32A6244-AAB2-4A17-82C9-283D0D616D8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7" name="MiCalendario" hidden="1">
              <a:extLst>
                <a:ext uri="{FF2B5EF4-FFF2-40B4-BE49-F238E27FC236}">
                  <a16:creationId xmlns:a16="http://schemas.microsoft.com/office/drawing/2014/main" id="{1BDCA450-FC72-401A-8BC3-DEDFF31D8B2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0"/>
            </a:graphicData>
          </a:graphic>
        </xdr:graphicFrame>
      </mc:Choice>
      <mc:Fallback>
        <xdr:pic>
          <xdr:nvPicPr>
            <xdr:cNvPr id="77" name="MiCalendario">
              <a:extLst>
                <a:ext uri="{FF2B5EF4-FFF2-40B4-BE49-F238E27FC236}">
                  <a16:creationId xmlns:a16="http://schemas.microsoft.com/office/drawing/2014/main" id="{1BDCA450-FC72-401A-8BC3-DEDFF31D8B2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763270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8" name="MiCalendario" hidden="1">
              <a:extLst>
                <a:ext uri="{FF2B5EF4-FFF2-40B4-BE49-F238E27FC236}">
                  <a16:creationId xmlns:a16="http://schemas.microsoft.com/office/drawing/2014/main" id="{32D2702A-DF40-4FB6-A2AB-923663A6D6F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1"/>
            </a:graphicData>
          </a:graphic>
        </xdr:graphicFrame>
      </mc:Choice>
      <mc:Fallback>
        <xdr:pic>
          <xdr:nvPicPr>
            <xdr:cNvPr id="78" name="MiCalendario">
              <a:extLst>
                <a:ext uri="{FF2B5EF4-FFF2-40B4-BE49-F238E27FC236}">
                  <a16:creationId xmlns:a16="http://schemas.microsoft.com/office/drawing/2014/main" id="{32D2702A-DF40-4FB6-A2AB-923663A6D6FC}"/>
                </a:ext>
              </a:extLst>
            </xdr:cNvPr>
            <xdr:cNvPicPr/>
          </xdr:nvPicPr>
          <xdr:blipFill>
            <a:blip xmlns:r="http://schemas.openxmlformats.org/officeDocument/2006/relationships" r:embed="rId6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9" name="MiCalendario" hidden="1">
              <a:extLst>
                <a:ext uri="{FF2B5EF4-FFF2-40B4-BE49-F238E27FC236}">
                  <a16:creationId xmlns:a16="http://schemas.microsoft.com/office/drawing/2014/main" id="{152A092A-F06A-47ED-ADAC-6DB4BB38B4F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2"/>
            </a:graphicData>
          </a:graphic>
        </xdr:graphicFrame>
      </mc:Choice>
      <mc:Fallback>
        <xdr:pic>
          <xdr:nvPicPr>
            <xdr:cNvPr id="79" name="MiCalendario">
              <a:extLst>
                <a:ext uri="{FF2B5EF4-FFF2-40B4-BE49-F238E27FC236}">
                  <a16:creationId xmlns:a16="http://schemas.microsoft.com/office/drawing/2014/main" id="{152A092A-F06A-47ED-ADAC-6DB4BB38B4F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0" name="MiCalendario" hidden="1">
              <a:extLst>
                <a:ext uri="{FF2B5EF4-FFF2-40B4-BE49-F238E27FC236}">
                  <a16:creationId xmlns:a16="http://schemas.microsoft.com/office/drawing/2014/main" id="{6CDD4BDE-F3A0-4C35-BD09-92D03BE720C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3"/>
            </a:graphicData>
          </a:graphic>
        </xdr:graphicFrame>
      </mc:Choice>
      <mc:Fallback>
        <xdr:pic>
          <xdr:nvPicPr>
            <xdr:cNvPr id="80" name="MiCalendario">
              <a:extLst>
                <a:ext uri="{FF2B5EF4-FFF2-40B4-BE49-F238E27FC236}">
                  <a16:creationId xmlns:a16="http://schemas.microsoft.com/office/drawing/2014/main" id="{6CDD4BDE-F3A0-4C35-BD09-92D03BE720C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1" name="MiCalendario" hidden="1">
              <a:extLst>
                <a:ext uri="{FF2B5EF4-FFF2-40B4-BE49-F238E27FC236}">
                  <a16:creationId xmlns:a16="http://schemas.microsoft.com/office/drawing/2014/main" id="{76EB94E2-5F18-47B0-A6C8-6B692AE61A3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4"/>
            </a:graphicData>
          </a:graphic>
        </xdr:graphicFrame>
      </mc:Choice>
      <mc:Fallback>
        <xdr:pic>
          <xdr:nvPicPr>
            <xdr:cNvPr id="81" name="MiCalendario">
              <a:extLst>
                <a:ext uri="{FF2B5EF4-FFF2-40B4-BE49-F238E27FC236}">
                  <a16:creationId xmlns:a16="http://schemas.microsoft.com/office/drawing/2014/main" id="{76EB94E2-5F18-47B0-A6C8-6B692AE61A3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2" name="MiCalendario" hidden="1">
              <a:extLst>
                <a:ext uri="{FF2B5EF4-FFF2-40B4-BE49-F238E27FC236}">
                  <a16:creationId xmlns:a16="http://schemas.microsoft.com/office/drawing/2014/main" id="{2CBA2704-17F3-453A-903D-D108287949F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5"/>
            </a:graphicData>
          </a:graphic>
        </xdr:graphicFrame>
      </mc:Choice>
      <mc:Fallback>
        <xdr:pic>
          <xdr:nvPicPr>
            <xdr:cNvPr id="82" name="MiCalendario">
              <a:extLst>
                <a:ext uri="{FF2B5EF4-FFF2-40B4-BE49-F238E27FC236}">
                  <a16:creationId xmlns:a16="http://schemas.microsoft.com/office/drawing/2014/main" id="{2CBA2704-17F3-453A-903D-D108287949F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3" name="MiCalendario" hidden="1">
              <a:extLst>
                <a:ext uri="{FF2B5EF4-FFF2-40B4-BE49-F238E27FC236}">
                  <a16:creationId xmlns:a16="http://schemas.microsoft.com/office/drawing/2014/main" id="{03A1A636-7851-4984-AEDD-8CC9D22FEF8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6"/>
            </a:graphicData>
          </a:graphic>
        </xdr:graphicFrame>
      </mc:Choice>
      <mc:Fallback>
        <xdr:pic>
          <xdr:nvPicPr>
            <xdr:cNvPr id="83" name="MiCalendario">
              <a:extLst>
                <a:ext uri="{FF2B5EF4-FFF2-40B4-BE49-F238E27FC236}">
                  <a16:creationId xmlns:a16="http://schemas.microsoft.com/office/drawing/2014/main" id="{03A1A636-7851-4984-AEDD-8CC9D22FEF8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4" name="MiCalendario" hidden="1">
              <a:extLst>
                <a:ext uri="{FF2B5EF4-FFF2-40B4-BE49-F238E27FC236}">
                  <a16:creationId xmlns:a16="http://schemas.microsoft.com/office/drawing/2014/main" id="{C44138DA-338E-4ACD-9127-695CE3414BE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7"/>
            </a:graphicData>
          </a:graphic>
        </xdr:graphicFrame>
      </mc:Choice>
      <mc:Fallback>
        <xdr:pic>
          <xdr:nvPicPr>
            <xdr:cNvPr id="84" name="MiCalendario">
              <a:extLst>
                <a:ext uri="{FF2B5EF4-FFF2-40B4-BE49-F238E27FC236}">
                  <a16:creationId xmlns:a16="http://schemas.microsoft.com/office/drawing/2014/main" id="{C44138DA-338E-4ACD-9127-695CE3414BE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5" name="MiCalendario" hidden="1">
              <a:extLst>
                <a:ext uri="{FF2B5EF4-FFF2-40B4-BE49-F238E27FC236}">
                  <a16:creationId xmlns:a16="http://schemas.microsoft.com/office/drawing/2014/main" id="{C7228994-CE95-44A5-9FEB-29210CE35F9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8"/>
            </a:graphicData>
          </a:graphic>
        </xdr:graphicFrame>
      </mc:Choice>
      <mc:Fallback>
        <xdr:pic>
          <xdr:nvPicPr>
            <xdr:cNvPr id="85" name="MiCalendario">
              <a:extLst>
                <a:ext uri="{FF2B5EF4-FFF2-40B4-BE49-F238E27FC236}">
                  <a16:creationId xmlns:a16="http://schemas.microsoft.com/office/drawing/2014/main" id="{C7228994-CE95-44A5-9FEB-29210CE35F9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6" name="MiCalendario" hidden="1">
              <a:extLst>
                <a:ext uri="{FF2B5EF4-FFF2-40B4-BE49-F238E27FC236}">
                  <a16:creationId xmlns:a16="http://schemas.microsoft.com/office/drawing/2014/main" id="{61867340-A65A-408B-B83A-3A6AE57B00D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9"/>
            </a:graphicData>
          </a:graphic>
        </xdr:graphicFrame>
      </mc:Choice>
      <mc:Fallback>
        <xdr:pic>
          <xdr:nvPicPr>
            <xdr:cNvPr id="86" name="MiCalendario">
              <a:extLst>
                <a:ext uri="{FF2B5EF4-FFF2-40B4-BE49-F238E27FC236}">
                  <a16:creationId xmlns:a16="http://schemas.microsoft.com/office/drawing/2014/main" id="{61867340-A65A-408B-B83A-3A6AE57B00D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7" name="MiCalendario" hidden="1">
              <a:extLst>
                <a:ext uri="{FF2B5EF4-FFF2-40B4-BE49-F238E27FC236}">
                  <a16:creationId xmlns:a16="http://schemas.microsoft.com/office/drawing/2014/main" id="{5F27C066-2536-47CA-8F07-7EE94E2A789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0"/>
            </a:graphicData>
          </a:graphic>
        </xdr:graphicFrame>
      </mc:Choice>
      <mc:Fallback>
        <xdr:pic>
          <xdr:nvPicPr>
            <xdr:cNvPr id="87" name="MiCalendario">
              <a:extLst>
                <a:ext uri="{FF2B5EF4-FFF2-40B4-BE49-F238E27FC236}">
                  <a16:creationId xmlns:a16="http://schemas.microsoft.com/office/drawing/2014/main" id="{5F27C066-2536-47CA-8F07-7EE94E2A789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8" name="MiCalendario" hidden="1">
              <a:extLst>
                <a:ext uri="{FF2B5EF4-FFF2-40B4-BE49-F238E27FC236}">
                  <a16:creationId xmlns:a16="http://schemas.microsoft.com/office/drawing/2014/main" id="{C123EB2F-97A9-483D-A706-188E329E97C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1"/>
            </a:graphicData>
          </a:graphic>
        </xdr:graphicFrame>
      </mc:Choice>
      <mc:Fallback>
        <xdr:pic>
          <xdr:nvPicPr>
            <xdr:cNvPr id="88" name="MiCalendario">
              <a:extLst>
                <a:ext uri="{FF2B5EF4-FFF2-40B4-BE49-F238E27FC236}">
                  <a16:creationId xmlns:a16="http://schemas.microsoft.com/office/drawing/2014/main" id="{C123EB2F-97A9-483D-A706-188E329E97C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9" name="MiCalendario" hidden="1">
              <a:extLst>
                <a:ext uri="{FF2B5EF4-FFF2-40B4-BE49-F238E27FC236}">
                  <a16:creationId xmlns:a16="http://schemas.microsoft.com/office/drawing/2014/main" id="{78F71D42-4F08-4608-80A1-1DD33344980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2"/>
            </a:graphicData>
          </a:graphic>
        </xdr:graphicFrame>
      </mc:Choice>
      <mc:Fallback>
        <xdr:pic>
          <xdr:nvPicPr>
            <xdr:cNvPr id="89" name="MiCalendario">
              <a:extLst>
                <a:ext uri="{FF2B5EF4-FFF2-40B4-BE49-F238E27FC236}">
                  <a16:creationId xmlns:a16="http://schemas.microsoft.com/office/drawing/2014/main" id="{78F71D42-4F08-4608-80A1-1DD33344980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0" name="MiCalendario" hidden="1">
              <a:extLst>
                <a:ext uri="{FF2B5EF4-FFF2-40B4-BE49-F238E27FC236}">
                  <a16:creationId xmlns:a16="http://schemas.microsoft.com/office/drawing/2014/main" id="{1ECD5294-0843-42AE-BDFC-1FBC3385D2C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3"/>
            </a:graphicData>
          </a:graphic>
        </xdr:graphicFrame>
      </mc:Choice>
      <mc:Fallback>
        <xdr:pic>
          <xdr:nvPicPr>
            <xdr:cNvPr id="90" name="MiCalendario">
              <a:extLst>
                <a:ext uri="{FF2B5EF4-FFF2-40B4-BE49-F238E27FC236}">
                  <a16:creationId xmlns:a16="http://schemas.microsoft.com/office/drawing/2014/main" id="{1ECD5294-0843-42AE-BDFC-1FBC3385D2C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1" name="MiCalendario" hidden="1">
              <a:extLst>
                <a:ext uri="{FF2B5EF4-FFF2-40B4-BE49-F238E27FC236}">
                  <a16:creationId xmlns:a16="http://schemas.microsoft.com/office/drawing/2014/main" id="{8213FEAC-C4FF-4DCC-8616-E7B3931E8FD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4"/>
            </a:graphicData>
          </a:graphic>
        </xdr:graphicFrame>
      </mc:Choice>
      <mc:Fallback>
        <xdr:pic>
          <xdr:nvPicPr>
            <xdr:cNvPr id="91" name="MiCalendario">
              <a:extLst>
                <a:ext uri="{FF2B5EF4-FFF2-40B4-BE49-F238E27FC236}">
                  <a16:creationId xmlns:a16="http://schemas.microsoft.com/office/drawing/2014/main" id="{8213FEAC-C4FF-4DCC-8616-E7B3931E8FDB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2" name="MiCalendario" hidden="1">
              <a:extLst>
                <a:ext uri="{FF2B5EF4-FFF2-40B4-BE49-F238E27FC236}">
                  <a16:creationId xmlns:a16="http://schemas.microsoft.com/office/drawing/2014/main" id="{DF792560-0221-42BE-A234-0ABE0F7A9CD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5"/>
            </a:graphicData>
          </a:graphic>
        </xdr:graphicFrame>
      </mc:Choice>
      <mc:Fallback>
        <xdr:pic>
          <xdr:nvPicPr>
            <xdr:cNvPr id="92" name="MiCalendario">
              <a:extLst>
                <a:ext uri="{FF2B5EF4-FFF2-40B4-BE49-F238E27FC236}">
                  <a16:creationId xmlns:a16="http://schemas.microsoft.com/office/drawing/2014/main" id="{DF792560-0221-42BE-A234-0ABE0F7A9CD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3" name="MiCalendario" hidden="1">
              <a:extLst>
                <a:ext uri="{FF2B5EF4-FFF2-40B4-BE49-F238E27FC236}">
                  <a16:creationId xmlns:a16="http://schemas.microsoft.com/office/drawing/2014/main" id="{07C42AC8-8F19-4B45-888A-CEA10C62922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6"/>
            </a:graphicData>
          </a:graphic>
        </xdr:graphicFrame>
      </mc:Choice>
      <mc:Fallback>
        <xdr:pic>
          <xdr:nvPicPr>
            <xdr:cNvPr id="93" name="MiCalendario">
              <a:extLst>
                <a:ext uri="{FF2B5EF4-FFF2-40B4-BE49-F238E27FC236}">
                  <a16:creationId xmlns:a16="http://schemas.microsoft.com/office/drawing/2014/main" id="{07C42AC8-8F19-4B45-888A-CEA10C62922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4" name="MiCalendario" hidden="1">
              <a:extLst>
                <a:ext uri="{FF2B5EF4-FFF2-40B4-BE49-F238E27FC236}">
                  <a16:creationId xmlns:a16="http://schemas.microsoft.com/office/drawing/2014/main" id="{962B8240-0B8E-4A54-ACD1-7CBD0EEE2E9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7"/>
            </a:graphicData>
          </a:graphic>
        </xdr:graphicFrame>
      </mc:Choice>
      <mc:Fallback>
        <xdr:pic>
          <xdr:nvPicPr>
            <xdr:cNvPr id="94" name="MiCalendario">
              <a:extLst>
                <a:ext uri="{FF2B5EF4-FFF2-40B4-BE49-F238E27FC236}">
                  <a16:creationId xmlns:a16="http://schemas.microsoft.com/office/drawing/2014/main" id="{962B8240-0B8E-4A54-ACD1-7CBD0EEE2E9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5" name="MiCalendario" hidden="1">
              <a:extLst>
                <a:ext uri="{FF2B5EF4-FFF2-40B4-BE49-F238E27FC236}">
                  <a16:creationId xmlns:a16="http://schemas.microsoft.com/office/drawing/2014/main" id="{AC6FEF17-C76F-4C34-9691-225D8BC64E3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8"/>
            </a:graphicData>
          </a:graphic>
        </xdr:graphicFrame>
      </mc:Choice>
      <mc:Fallback>
        <xdr:pic>
          <xdr:nvPicPr>
            <xdr:cNvPr id="95" name="MiCalendario">
              <a:extLst>
                <a:ext uri="{FF2B5EF4-FFF2-40B4-BE49-F238E27FC236}">
                  <a16:creationId xmlns:a16="http://schemas.microsoft.com/office/drawing/2014/main" id="{AC6FEF17-C76F-4C34-9691-225D8BC64E3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6" name="MiCalendario" hidden="1">
              <a:extLst>
                <a:ext uri="{FF2B5EF4-FFF2-40B4-BE49-F238E27FC236}">
                  <a16:creationId xmlns:a16="http://schemas.microsoft.com/office/drawing/2014/main" id="{E5500722-E81F-49E6-9FA6-32ADA0F62F8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9"/>
            </a:graphicData>
          </a:graphic>
        </xdr:graphicFrame>
      </mc:Choice>
      <mc:Fallback>
        <xdr:pic>
          <xdr:nvPicPr>
            <xdr:cNvPr id="96" name="MiCalendario">
              <a:extLst>
                <a:ext uri="{FF2B5EF4-FFF2-40B4-BE49-F238E27FC236}">
                  <a16:creationId xmlns:a16="http://schemas.microsoft.com/office/drawing/2014/main" id="{E5500722-E81F-49E6-9FA6-32ADA0F62F8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82</xdr:col>
      <xdr:colOff>0</xdr:colOff>
      <xdr:row>6</xdr:row>
      <xdr:rowOff>25400</xdr:rowOff>
    </xdr:from>
    <xdr:to>
      <xdr:col>86</xdr:col>
      <xdr:colOff>984250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" name="MiCalendario" hidden="1">
              <a:extLst>
                <a:ext uri="{FF2B5EF4-FFF2-40B4-BE49-F238E27FC236}">
                  <a16:creationId xmlns:a16="http://schemas.microsoft.com/office/drawing/2014/main" id="{2DDD4BF7-E331-44C4-8D19-27BA30B5A88B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"/>
            </a:graphicData>
          </a:graphic>
        </xdr:graphicFrame>
      </mc:Choice>
      <mc:Fallback>
        <xdr:pic>
          <xdr:nvPicPr>
            <xdr:cNvPr id="2" name="MiCalendario">
              <a:extLst>
                <a:ext uri="{FF2B5EF4-FFF2-40B4-BE49-F238E27FC236}">
                  <a16:creationId xmlns:a16="http://schemas.microsoft.com/office/drawing/2014/main" id="{2DDD4BF7-E331-44C4-8D19-27BA30B5A88B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18</xdr:col>
      <xdr:colOff>0</xdr:colOff>
      <xdr:row>6</xdr:row>
      <xdr:rowOff>25400</xdr:rowOff>
    </xdr:from>
    <xdr:to>
      <xdr:col>22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3" name="MiCalendario" hidden="1">
              <a:extLst>
                <a:ext uri="{FF2B5EF4-FFF2-40B4-BE49-F238E27FC236}">
                  <a16:creationId xmlns:a16="http://schemas.microsoft.com/office/drawing/2014/main" id="{76BC185B-1704-453D-AC6A-EA0AEC82CC4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3"/>
            </a:graphicData>
          </a:graphic>
        </xdr:graphicFrame>
      </mc:Choice>
      <mc:Fallback>
        <xdr:pic>
          <xdr:nvPicPr>
            <xdr:cNvPr id="3" name="MiCalendario">
              <a:extLst>
                <a:ext uri="{FF2B5EF4-FFF2-40B4-BE49-F238E27FC236}">
                  <a16:creationId xmlns:a16="http://schemas.microsoft.com/office/drawing/2014/main" id="{76BC185B-1704-453D-AC6A-EA0AEC82CC4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26</xdr:col>
      <xdr:colOff>0</xdr:colOff>
      <xdr:row>6</xdr:row>
      <xdr:rowOff>25400</xdr:rowOff>
    </xdr:from>
    <xdr:to>
      <xdr:col>30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4" name="MiCalendario" hidden="1">
              <a:extLst>
                <a:ext uri="{FF2B5EF4-FFF2-40B4-BE49-F238E27FC236}">
                  <a16:creationId xmlns:a16="http://schemas.microsoft.com/office/drawing/2014/main" id="{9E558473-95EE-405A-8F32-4D016AB38BF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5"/>
            </a:graphicData>
          </a:graphic>
        </xdr:graphicFrame>
      </mc:Choice>
      <mc:Fallback>
        <xdr:pic>
          <xdr:nvPicPr>
            <xdr:cNvPr id="4" name="MiCalendario">
              <a:extLst>
                <a:ext uri="{FF2B5EF4-FFF2-40B4-BE49-F238E27FC236}">
                  <a16:creationId xmlns:a16="http://schemas.microsoft.com/office/drawing/2014/main" id="{9E558473-95EE-405A-8F32-4D016AB38BF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34</xdr:col>
      <xdr:colOff>0</xdr:colOff>
      <xdr:row>6</xdr:row>
      <xdr:rowOff>25400</xdr:rowOff>
    </xdr:from>
    <xdr:to>
      <xdr:col>38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5" name="MiCalendario" hidden="1">
              <a:extLst>
                <a:ext uri="{FF2B5EF4-FFF2-40B4-BE49-F238E27FC236}">
                  <a16:creationId xmlns:a16="http://schemas.microsoft.com/office/drawing/2014/main" id="{D4E534A2-34BC-4571-A65B-2B56BA38F9F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6"/>
            </a:graphicData>
          </a:graphic>
        </xdr:graphicFrame>
      </mc:Choice>
      <mc:Fallback>
        <xdr:pic>
          <xdr:nvPicPr>
            <xdr:cNvPr id="5" name="MiCalendario">
              <a:extLst>
                <a:ext uri="{FF2B5EF4-FFF2-40B4-BE49-F238E27FC236}">
                  <a16:creationId xmlns:a16="http://schemas.microsoft.com/office/drawing/2014/main" id="{D4E534A2-34BC-4571-A65B-2B56BA38F9F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42</xdr:col>
      <xdr:colOff>0</xdr:colOff>
      <xdr:row>6</xdr:row>
      <xdr:rowOff>25400</xdr:rowOff>
    </xdr:from>
    <xdr:to>
      <xdr:col>46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6" name="MiCalendario" hidden="1">
              <a:extLst>
                <a:ext uri="{FF2B5EF4-FFF2-40B4-BE49-F238E27FC236}">
                  <a16:creationId xmlns:a16="http://schemas.microsoft.com/office/drawing/2014/main" id="{15CDFAE5-F806-4056-A484-A9F94EF58928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7"/>
            </a:graphicData>
          </a:graphic>
        </xdr:graphicFrame>
      </mc:Choice>
      <mc:Fallback>
        <xdr:pic>
          <xdr:nvPicPr>
            <xdr:cNvPr id="6" name="MiCalendario">
              <a:extLst>
                <a:ext uri="{FF2B5EF4-FFF2-40B4-BE49-F238E27FC236}">
                  <a16:creationId xmlns:a16="http://schemas.microsoft.com/office/drawing/2014/main" id="{15CDFAE5-F806-4056-A484-A9F94EF58928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50</xdr:col>
      <xdr:colOff>0</xdr:colOff>
      <xdr:row>6</xdr:row>
      <xdr:rowOff>25400</xdr:rowOff>
    </xdr:from>
    <xdr:to>
      <xdr:col>54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7" name="MiCalendario" hidden="1">
              <a:extLst>
                <a:ext uri="{FF2B5EF4-FFF2-40B4-BE49-F238E27FC236}">
                  <a16:creationId xmlns:a16="http://schemas.microsoft.com/office/drawing/2014/main" id="{5841E9E8-A259-4CB8-B35E-C61867695023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8"/>
            </a:graphicData>
          </a:graphic>
        </xdr:graphicFrame>
      </mc:Choice>
      <mc:Fallback>
        <xdr:pic>
          <xdr:nvPicPr>
            <xdr:cNvPr id="7" name="MiCalendario">
              <a:extLst>
                <a:ext uri="{FF2B5EF4-FFF2-40B4-BE49-F238E27FC236}">
                  <a16:creationId xmlns:a16="http://schemas.microsoft.com/office/drawing/2014/main" id="{5841E9E8-A259-4CB8-B35E-C61867695023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58</xdr:col>
      <xdr:colOff>0</xdr:colOff>
      <xdr:row>6</xdr:row>
      <xdr:rowOff>25400</xdr:rowOff>
    </xdr:from>
    <xdr:to>
      <xdr:col>62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8" name="MiCalendario" hidden="1">
              <a:extLst>
                <a:ext uri="{FF2B5EF4-FFF2-40B4-BE49-F238E27FC236}">
                  <a16:creationId xmlns:a16="http://schemas.microsoft.com/office/drawing/2014/main" id="{97217B3A-0BA2-47EA-B674-665CD92FC54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9"/>
            </a:graphicData>
          </a:graphic>
        </xdr:graphicFrame>
      </mc:Choice>
      <mc:Fallback>
        <xdr:pic>
          <xdr:nvPicPr>
            <xdr:cNvPr id="8" name="MiCalendario">
              <a:extLst>
                <a:ext uri="{FF2B5EF4-FFF2-40B4-BE49-F238E27FC236}">
                  <a16:creationId xmlns:a16="http://schemas.microsoft.com/office/drawing/2014/main" id="{97217B3A-0BA2-47EA-B674-665CD92FC54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66</xdr:col>
      <xdr:colOff>0</xdr:colOff>
      <xdr:row>6</xdr:row>
      <xdr:rowOff>25400</xdr:rowOff>
    </xdr:from>
    <xdr:to>
      <xdr:col>70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9" name="MiCalendario" hidden="1">
              <a:extLst>
                <a:ext uri="{FF2B5EF4-FFF2-40B4-BE49-F238E27FC236}">
                  <a16:creationId xmlns:a16="http://schemas.microsoft.com/office/drawing/2014/main" id="{E9CE2CEA-DE98-43D4-995D-50150892B570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0"/>
            </a:graphicData>
          </a:graphic>
        </xdr:graphicFrame>
      </mc:Choice>
      <mc:Fallback>
        <xdr:pic>
          <xdr:nvPicPr>
            <xdr:cNvPr id="9" name="MiCalendario">
              <a:extLst>
                <a:ext uri="{FF2B5EF4-FFF2-40B4-BE49-F238E27FC236}">
                  <a16:creationId xmlns:a16="http://schemas.microsoft.com/office/drawing/2014/main" id="{E9CE2CEA-DE98-43D4-995D-50150892B570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74</xdr:col>
      <xdr:colOff>0</xdr:colOff>
      <xdr:row>6</xdr:row>
      <xdr:rowOff>25400</xdr:rowOff>
    </xdr:from>
    <xdr:to>
      <xdr:col>78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0" name="MiCalendario" hidden="1">
              <a:extLst>
                <a:ext uri="{FF2B5EF4-FFF2-40B4-BE49-F238E27FC236}">
                  <a16:creationId xmlns:a16="http://schemas.microsoft.com/office/drawing/2014/main" id="{9EC5108E-07C0-40F1-A183-9C7280B3D825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1"/>
            </a:graphicData>
          </a:graphic>
        </xdr:graphicFrame>
      </mc:Choice>
      <mc:Fallback>
        <xdr:pic>
          <xdr:nvPicPr>
            <xdr:cNvPr id="10" name="MiCalendario">
              <a:extLst>
                <a:ext uri="{FF2B5EF4-FFF2-40B4-BE49-F238E27FC236}">
                  <a16:creationId xmlns:a16="http://schemas.microsoft.com/office/drawing/2014/main" id="{9EC5108E-07C0-40F1-A183-9C7280B3D825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82</xdr:col>
      <xdr:colOff>0</xdr:colOff>
      <xdr:row>6</xdr:row>
      <xdr:rowOff>25400</xdr:rowOff>
    </xdr:from>
    <xdr:to>
      <xdr:col>86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1" name="MiCalendario" hidden="1">
              <a:extLst>
                <a:ext uri="{FF2B5EF4-FFF2-40B4-BE49-F238E27FC236}">
                  <a16:creationId xmlns:a16="http://schemas.microsoft.com/office/drawing/2014/main" id="{FF8B4B3B-CF35-4849-A75D-39411512CA76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2"/>
            </a:graphicData>
          </a:graphic>
        </xdr:graphicFrame>
      </mc:Choice>
      <mc:Fallback>
        <xdr:pic>
          <xdr:nvPicPr>
            <xdr:cNvPr id="11" name="MiCalendario">
              <a:extLst>
                <a:ext uri="{FF2B5EF4-FFF2-40B4-BE49-F238E27FC236}">
                  <a16:creationId xmlns:a16="http://schemas.microsoft.com/office/drawing/2014/main" id="{FF8B4B3B-CF35-4849-A75D-39411512CA76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90</xdr:col>
      <xdr:colOff>0</xdr:colOff>
      <xdr:row>6</xdr:row>
      <xdr:rowOff>25400</xdr:rowOff>
    </xdr:from>
    <xdr:to>
      <xdr:col>94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2" name="MiCalendario" hidden="1">
              <a:extLst>
                <a:ext uri="{FF2B5EF4-FFF2-40B4-BE49-F238E27FC236}">
                  <a16:creationId xmlns:a16="http://schemas.microsoft.com/office/drawing/2014/main" id="{F7B55C21-4ABD-4672-8572-DC36B5C299DC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3"/>
            </a:graphicData>
          </a:graphic>
        </xdr:graphicFrame>
      </mc:Choice>
      <mc:Fallback>
        <xdr:pic>
          <xdr:nvPicPr>
            <xdr:cNvPr id="12" name="MiCalendario">
              <a:extLst>
                <a:ext uri="{FF2B5EF4-FFF2-40B4-BE49-F238E27FC236}">
                  <a16:creationId xmlns:a16="http://schemas.microsoft.com/office/drawing/2014/main" id="{F7B55C21-4ABD-4672-8572-DC36B5C299DC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98</xdr:col>
      <xdr:colOff>0</xdr:colOff>
      <xdr:row>6</xdr:row>
      <xdr:rowOff>25400</xdr:rowOff>
    </xdr:from>
    <xdr:to>
      <xdr:col>102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3" name="MiCalendario" hidden="1">
              <a:extLst>
                <a:ext uri="{FF2B5EF4-FFF2-40B4-BE49-F238E27FC236}">
                  <a16:creationId xmlns:a16="http://schemas.microsoft.com/office/drawing/2014/main" id="{016D328A-35EC-4467-BB0A-91BAD19F80F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4"/>
            </a:graphicData>
          </a:graphic>
        </xdr:graphicFrame>
      </mc:Choice>
      <mc:Fallback>
        <xdr:pic>
          <xdr:nvPicPr>
            <xdr:cNvPr id="13" name="MiCalendario">
              <a:extLst>
                <a:ext uri="{FF2B5EF4-FFF2-40B4-BE49-F238E27FC236}">
                  <a16:creationId xmlns:a16="http://schemas.microsoft.com/office/drawing/2014/main" id="{016D328A-35EC-4467-BB0A-91BAD19F80F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106</xdr:col>
      <xdr:colOff>0</xdr:colOff>
      <xdr:row>6</xdr:row>
      <xdr:rowOff>25400</xdr:rowOff>
    </xdr:from>
    <xdr:to>
      <xdr:col>110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4" name="MiCalendario" hidden="1">
              <a:extLst>
                <a:ext uri="{FF2B5EF4-FFF2-40B4-BE49-F238E27FC236}">
                  <a16:creationId xmlns:a16="http://schemas.microsoft.com/office/drawing/2014/main" id="{61620B6A-9B0B-4F77-9108-B1D8D37E644E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5"/>
            </a:graphicData>
          </a:graphic>
        </xdr:graphicFrame>
      </mc:Choice>
      <mc:Fallback>
        <xdr:pic>
          <xdr:nvPicPr>
            <xdr:cNvPr id="14" name="MiCalendario">
              <a:extLst>
                <a:ext uri="{FF2B5EF4-FFF2-40B4-BE49-F238E27FC236}">
                  <a16:creationId xmlns:a16="http://schemas.microsoft.com/office/drawing/2014/main" id="{61620B6A-9B0B-4F77-9108-B1D8D37E644E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114</xdr:col>
      <xdr:colOff>0</xdr:colOff>
      <xdr:row>6</xdr:row>
      <xdr:rowOff>25400</xdr:rowOff>
    </xdr:from>
    <xdr:to>
      <xdr:col>118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5" name="MiCalendario" hidden="1">
              <a:extLst>
                <a:ext uri="{FF2B5EF4-FFF2-40B4-BE49-F238E27FC236}">
                  <a16:creationId xmlns:a16="http://schemas.microsoft.com/office/drawing/2014/main" id="{330E12F2-1D67-403C-866A-DDCA44A04739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6"/>
            </a:graphicData>
          </a:graphic>
        </xdr:graphicFrame>
      </mc:Choice>
      <mc:Fallback>
        <xdr:pic>
          <xdr:nvPicPr>
            <xdr:cNvPr id="15" name="MiCalendario">
              <a:extLst>
                <a:ext uri="{FF2B5EF4-FFF2-40B4-BE49-F238E27FC236}">
                  <a16:creationId xmlns:a16="http://schemas.microsoft.com/office/drawing/2014/main" id="{330E12F2-1D67-403C-866A-DDCA44A04739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122</xdr:col>
      <xdr:colOff>0</xdr:colOff>
      <xdr:row>6</xdr:row>
      <xdr:rowOff>25400</xdr:rowOff>
    </xdr:from>
    <xdr:to>
      <xdr:col>126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6" name="MiCalendario" hidden="1">
              <a:extLst>
                <a:ext uri="{FF2B5EF4-FFF2-40B4-BE49-F238E27FC236}">
                  <a16:creationId xmlns:a16="http://schemas.microsoft.com/office/drawing/2014/main" id="{CE47750C-C732-4BA5-81BB-4FFF6F5DD392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7"/>
            </a:graphicData>
          </a:graphic>
        </xdr:graphicFrame>
      </mc:Choice>
      <mc:Fallback>
        <xdr:pic>
          <xdr:nvPicPr>
            <xdr:cNvPr id="16" name="MiCalendario">
              <a:extLst>
                <a:ext uri="{FF2B5EF4-FFF2-40B4-BE49-F238E27FC236}">
                  <a16:creationId xmlns:a16="http://schemas.microsoft.com/office/drawing/2014/main" id="{CE47750C-C732-4BA5-81BB-4FFF6F5DD392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130</xdr:col>
      <xdr:colOff>0</xdr:colOff>
      <xdr:row>6</xdr:row>
      <xdr:rowOff>25400</xdr:rowOff>
    </xdr:from>
    <xdr:to>
      <xdr:col>134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7" name="MiCalendario" hidden="1">
              <a:extLst>
                <a:ext uri="{FF2B5EF4-FFF2-40B4-BE49-F238E27FC236}">
                  <a16:creationId xmlns:a16="http://schemas.microsoft.com/office/drawing/2014/main" id="{F941E57E-F683-4D2A-BDF8-3E1E533375FA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8"/>
            </a:graphicData>
          </a:graphic>
        </xdr:graphicFrame>
      </mc:Choice>
      <mc:Fallback>
        <xdr:pic>
          <xdr:nvPicPr>
            <xdr:cNvPr id="17" name="MiCalendario">
              <a:extLst>
                <a:ext uri="{FF2B5EF4-FFF2-40B4-BE49-F238E27FC236}">
                  <a16:creationId xmlns:a16="http://schemas.microsoft.com/office/drawing/2014/main" id="{F941E57E-F683-4D2A-BDF8-3E1E533375FA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138</xdr:col>
      <xdr:colOff>0</xdr:colOff>
      <xdr:row>6</xdr:row>
      <xdr:rowOff>25400</xdr:rowOff>
    </xdr:from>
    <xdr:to>
      <xdr:col>142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8" name="MiCalendario" hidden="1">
              <a:extLst>
                <a:ext uri="{FF2B5EF4-FFF2-40B4-BE49-F238E27FC236}">
                  <a16:creationId xmlns:a16="http://schemas.microsoft.com/office/drawing/2014/main" id="{29F515E5-5B0F-4BC0-A9E2-107D12E731AD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19"/>
            </a:graphicData>
          </a:graphic>
        </xdr:graphicFrame>
      </mc:Choice>
      <mc:Fallback>
        <xdr:pic>
          <xdr:nvPicPr>
            <xdr:cNvPr id="18" name="MiCalendario">
              <a:extLst>
                <a:ext uri="{FF2B5EF4-FFF2-40B4-BE49-F238E27FC236}">
                  <a16:creationId xmlns:a16="http://schemas.microsoft.com/office/drawing/2014/main" id="{29F515E5-5B0F-4BC0-A9E2-107D12E731AD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146</xdr:col>
      <xdr:colOff>0</xdr:colOff>
      <xdr:row>6</xdr:row>
      <xdr:rowOff>25400</xdr:rowOff>
    </xdr:from>
    <xdr:to>
      <xdr:col>150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19" name="MiCalendario" hidden="1">
              <a:extLst>
                <a:ext uri="{FF2B5EF4-FFF2-40B4-BE49-F238E27FC236}">
                  <a16:creationId xmlns:a16="http://schemas.microsoft.com/office/drawing/2014/main" id="{73E12CE3-A21B-4CB5-A90D-2CFEDA831D67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0"/>
            </a:graphicData>
          </a:graphic>
        </xdr:graphicFrame>
      </mc:Choice>
      <mc:Fallback>
        <xdr:pic>
          <xdr:nvPicPr>
            <xdr:cNvPr id="19" name="MiCalendario">
              <a:extLst>
                <a:ext uri="{FF2B5EF4-FFF2-40B4-BE49-F238E27FC236}">
                  <a16:creationId xmlns:a16="http://schemas.microsoft.com/office/drawing/2014/main" id="{73E12CE3-A21B-4CB5-A90D-2CFEDA831D67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154</xdr:col>
      <xdr:colOff>0</xdr:colOff>
      <xdr:row>6</xdr:row>
      <xdr:rowOff>25400</xdr:rowOff>
    </xdr:from>
    <xdr:to>
      <xdr:col>158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0" name="MiCalendario" hidden="1">
              <a:extLst>
                <a:ext uri="{FF2B5EF4-FFF2-40B4-BE49-F238E27FC236}">
                  <a16:creationId xmlns:a16="http://schemas.microsoft.com/office/drawing/2014/main" id="{ED7BA5F9-ABD7-45DC-8B1A-5867A8A67A11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1"/>
            </a:graphicData>
          </a:graphic>
        </xdr:graphicFrame>
      </mc:Choice>
      <mc:Fallback>
        <xdr:pic>
          <xdr:nvPicPr>
            <xdr:cNvPr id="20" name="MiCalendario">
              <a:extLst>
                <a:ext uri="{FF2B5EF4-FFF2-40B4-BE49-F238E27FC236}">
                  <a16:creationId xmlns:a16="http://schemas.microsoft.com/office/drawing/2014/main" id="{ED7BA5F9-ABD7-45DC-8B1A-5867A8A67A11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  <xdr:twoCellAnchor>
    <xdr:from>
      <xdr:col>162</xdr:col>
      <xdr:colOff>0</xdr:colOff>
      <xdr:row>6</xdr:row>
      <xdr:rowOff>25400</xdr:rowOff>
    </xdr:from>
    <xdr:to>
      <xdr:col>166</xdr:col>
      <xdr:colOff>742950</xdr:colOff>
      <xdr:row>8</xdr:row>
      <xdr:rowOff>619125</xdr:rowOff>
    </xdr:to>
    <mc:AlternateContent xmlns:mc="http://schemas.openxmlformats.org/markup-compatibility/2006">
      <mc:Choice xmlns:we="http://schemas.microsoft.com/office/webextensions/webextension/2010/11" Requires="we">
        <xdr:graphicFrame macro="">
          <xdr:nvGraphicFramePr>
            <xdr:cNvPr id="21" name="MiCalendario" hidden="1">
              <a:extLst>
                <a:ext uri="{FF2B5EF4-FFF2-40B4-BE49-F238E27FC236}">
                  <a16:creationId xmlns:a16="http://schemas.microsoft.com/office/drawing/2014/main" id="{1CB05331-3BFB-4C96-9978-76300E98DC54}"/>
                </a:ext>
              </a:extLst>
            </xdr:cNvPr>
            <xdr:cNvGraphicFramePr>
              <a:graphicFrameLocks noGrp="1"/>
            </xdr:cNvGraphicFramePr>
          </xdr:nvGraphicFramePr>
          <xdr:xfrm>
            <a:off x="0" y="0"/>
            <a:ext cx="0" cy="0"/>
          </xdr:xfrm>
          <a:graphic>
            <a:graphicData uri="http://schemas.microsoft.com/office/webextensions/webextension/2010/11">
              <we:webextensionref xmlns:we="http://schemas.microsoft.com/office/webextensions/webextension/2010/11" xmlns:r="http://schemas.openxmlformats.org/officeDocument/2006/relationships" r:id="rId22"/>
            </a:graphicData>
          </a:graphic>
        </xdr:graphicFrame>
      </mc:Choice>
      <mc:Fallback>
        <xdr:pic>
          <xdr:nvPicPr>
            <xdr:cNvPr id="21" name="MiCalendario">
              <a:extLst>
                <a:ext uri="{FF2B5EF4-FFF2-40B4-BE49-F238E27FC236}">
                  <a16:creationId xmlns:a16="http://schemas.microsoft.com/office/drawing/2014/main" id="{1CB05331-3BFB-4C96-9978-76300E98DC54}"/>
                </a:ext>
              </a:extLst>
            </xdr:cNvPr>
            <xdr:cNvPicPr/>
          </xdr:nvPicPr>
          <xdr:blipFill>
            <a:blip xmlns:r="http://schemas.openxmlformats.org/officeDocument/2006/relationships" r:embed="rId4"/>
            <a:stretch>
              <a:fillRect/>
            </a:stretch>
          </xdr:blipFill>
          <xdr:spPr>
            <a:prstGeom prst="rect">
              <a:avLst/>
            </a:prstGeom>
          </xdr:spPr>
        </xdr:pic>
      </mc:Fallback>
    </mc:AlternateContent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320675</xdr:colOff>
      <xdr:row>0</xdr:row>
      <xdr:rowOff>63500</xdr:rowOff>
    </xdr:from>
    <xdr:to>
      <xdr:col>1</xdr:col>
      <xdr:colOff>2035175</xdr:colOff>
      <xdr:row>1</xdr:row>
      <xdr:rowOff>206375</xdr:rowOff>
    </xdr:to>
    <xdr:sp macro="" textlink="">
      <xdr:nvSpPr>
        <xdr:cNvPr id="2" name="Rectángulo: esquinas redondeadas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2DADDF37-BB5F-42BB-8A97-457662912BD7}"/>
            </a:ext>
          </a:extLst>
        </xdr:cNvPr>
        <xdr:cNvSpPr/>
      </xdr:nvSpPr>
      <xdr:spPr>
        <a:xfrm>
          <a:off x="676275" y="63500"/>
          <a:ext cx="1714500" cy="460375"/>
        </a:xfrm>
        <a:prstGeom prst="roundRect">
          <a:avLst/>
        </a:prstGeom>
        <a:solidFill>
          <a:srgbClr val="00B0F0"/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s-CR" sz="1800" b="1">
              <a:solidFill>
                <a:sysClr val="windowText" lastClr="000000"/>
              </a:solidFill>
            </a:rPr>
            <a:t>IR A PRINCIPAL</a:t>
          </a:r>
        </a:p>
        <a:p>
          <a:pPr algn="ctr"/>
          <a:endParaRPr lang="es-CR" sz="1800" b="1">
            <a:solidFill>
              <a:sysClr val="windowText" lastClr="000000"/>
            </a:solidFill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Estudiantes" displayName="Estudiantes" ref="A16:W31" totalsRowShown="0" headerRowDxfId="417" dataDxfId="416">
  <sortState xmlns:xlrd2="http://schemas.microsoft.com/office/spreadsheetml/2017/richdata2" ref="A17:V17">
    <sortCondition ref="C16:C17"/>
  </sortState>
  <tableColumns count="23">
    <tableColumn id="1" xr3:uid="{00000000-0010-0000-0000-000001000000}" name="Primer Apellido" dataDxfId="415"/>
    <tableColumn id="2" xr3:uid="{00000000-0010-0000-0000-000002000000}" name="Segundo Apellido" dataDxfId="414"/>
    <tableColumn id="3" xr3:uid="{00000000-0010-0000-0000-000003000000}" name="Nombre" dataDxfId="413"/>
    <tableColumn id="4" xr3:uid="{00000000-0010-0000-0000-000004000000}" name="Cédula" dataDxfId="412"/>
    <tableColumn id="5" xr3:uid="{2831B3BF-DCE1-4B0B-8547-20729EA17104}" name="Asistencia IP" dataDxfId="411" dataCellStyle="Moneda">
      <calculatedColumnFormula>IF(OR('Asis. Cot IP'!$A$8="",'Asis. Cot IP'!$A$8=0),
   "",
   Principal!$G$2*(1-((_xlfn.XLOOKUP($D17,'Asis. Cot IP'!D:D,'Asis. Cot IP'!E:E)
   +_xlfn.XLOOKUP($D17,'Asis. Cot IP'!D:D,'Asis. Cot IP'!F:F)
   +QUOTIENT(_xlfn.XLOOKUP($D17,'Asis. Cot IP'!D:D,'Asis. Cot IP'!G:G),2))
   /'Asis. Cot IP'!$A$8)))</calculatedColumnFormula>
    </tableColumn>
    <tableColumn id="6" xr3:uid="{9390FD96-E046-4DE9-94A8-D28B2750D745}" name="Cotidiano IP" dataDxfId="410" dataCellStyle="Porcentaje">
      <calculatedColumnFormula>IFERROR(_xlfn.XLOOKUP(D17,'Asis. Cot IP'!D:D,'Asis. Cot IP'!FM:FM)/'Asis. Cot IP'!$A$8*Principal!$G$6,"")</calculatedColumnFormula>
    </tableColumn>
    <tableColumn id="7" xr3:uid="{AB1F888B-C448-4D0D-A2F6-5A47169B0BE6}" name="Portafolio IP" dataDxfId="409" dataCellStyle="Moneda">
      <calculatedColumnFormula>_xlfn.XLOOKUP(D17,Portafolio!D:D,Portafolio!E:E,"")</calculatedColumnFormula>
    </tableColumn>
    <tableColumn id="8" xr3:uid="{F03E2823-6DF8-419B-8C2B-547489B7FA94}" name="Tareas IP" dataDxfId="408" dataCellStyle="Moneda">
      <calculatedColumnFormula array="1">_xlfn.XLOOKUP(D17,Tareas!D:D,Tareas!F:F + +Tareas!G:G,"")</calculatedColumnFormula>
    </tableColumn>
    <tableColumn id="9" xr3:uid="{BCE71A29-1181-4DB3-93BE-52B8ABB17109}" name="Evaluaciones IP" dataDxfId="407" dataCellStyle="Moneda">
      <calculatedColumnFormula array="1">_xlfn.XLOOKUP(D17,Evaluaciones!D:D,Evaluaciones!F:F+Evaluaciones!G:G,"")</calculatedColumnFormula>
    </tableColumn>
    <tableColumn id="10" xr3:uid="{8BC99991-C119-4230-8156-0B73E6C63EE4}" name="Proyecto IP" dataDxfId="406" dataCellStyle="Moneda">
      <calculatedColumnFormula>_xlfn.XLOOKUP(D17,Proyectos!D:D,Proyectos!E:E,"")</calculatedColumnFormula>
    </tableColumn>
    <tableColumn id="11" xr3:uid="{5098B9CB-2C1D-4FD9-B641-6220D21A5971}" name="Promedio I Periodo" dataDxfId="405">
      <calculatedColumnFormula>SUM(E17,F17,G17,H17,I17,J17)</calculatedColumnFormula>
    </tableColumn>
    <tableColumn id="12" xr3:uid="{A5BFF3A6-8E0A-4CF6-ADA6-071014AE8BE4}" name="Asistencia IIP" dataDxfId="404">
      <calculatedColumnFormula>IF(OR('Asis. Cot. IIP'!$A$8="",'Asis. Cot. IIP'!$A$8=0),"",Principal!$G$2*(1-((_xlfn.XLOOKUP($D17,'Asis. Cot. IIP'!D:D,'Asis. Cot. IIP'!E:E)+_xlfn.XLOOKUP($D17,'Asis. Cot. IIP'!D:D,'Asis. Cot. IIP'!F:F)+QUOTIENT(_xlfn.XLOOKUP($D17,'Asis. Cot. IIP'!D:D,'Asis. Cot. IIP'!G:G),2))/'Asis. Cot. IIP'!$A$8)))</calculatedColumnFormula>
    </tableColumn>
    <tableColumn id="13" xr3:uid="{328F392C-62ED-46CD-B582-9E213E835AEE}" name="Cotidiano IIP" dataDxfId="403">
      <calculatedColumnFormula>IFERROR(_xlfn.XLOOKUP(D17,'Asis. Cot. IIP'!D:D,'Asis. Cot. IIP'!FM:FM)/'Asis. Cot. IIP'!$A$8*Principal!$G$6,"")</calculatedColumnFormula>
    </tableColumn>
    <tableColumn id="14" xr3:uid="{34946794-A956-4702-BDC0-1875922379BA}" name="Portafolio IIP" dataDxfId="402">
      <calculatedColumnFormula>_xlfn.XLOOKUP(D17,Portafolio!D:D,Portafolio!F:F,"")</calculatedColumnFormula>
    </tableColumn>
    <tableColumn id="15" xr3:uid="{CE3CD83A-A138-4257-8D2A-13C7A33B7148}" name="Tareas IIP" dataDxfId="401">
      <calculatedColumnFormula array="1">_xlfn.XLOOKUP(D17,Tareas!D:D,Tareas!I:I + Tareas!J:J,"")</calculatedColumnFormula>
    </tableColumn>
    <tableColumn id="16" xr3:uid="{C372281F-56CC-49D8-B367-3E18D63C3782}" name="Evaluaciones IIP" dataDxfId="400">
      <calculatedColumnFormula array="1">_xlfn.XLOOKUP(D17,Evaluaciones!D:D,Evaluaciones!I:I+Evaluaciones!J:J,"")</calculatedColumnFormula>
    </tableColumn>
    <tableColumn id="17" xr3:uid="{D2733566-F2C5-40F7-9BAD-04B444270FC1}" name="Proyecto IIP" dataDxfId="399">
      <calculatedColumnFormula>_xlfn.XLOOKUP(D17,Proyectos!D:D,Proyectos!F:F,"")</calculatedColumnFormula>
    </tableColumn>
    <tableColumn id="18" xr3:uid="{627461A8-7AF7-4DA2-ADEB-452017FF0E85}" name="Promedio Segundo Peridodo" dataDxfId="398">
      <calculatedColumnFormula>SUM(L17,M17,N17,O17,P17,Q17)</calculatedColumnFormula>
    </tableColumn>
    <tableColumn id="19" xr3:uid="{E752199F-F93D-445D-9147-8F7388D963E2}" name="Promedio Anual" dataDxfId="397">
      <calculatedColumnFormula>(Estudiantes[[#This Row],[Promedio I Periodo]]*$J$2%)+(Estudiantes[[#This Row],[Promedio Segundo Peridodo]]*$J$3%)</calculatedColumnFormula>
    </tableColumn>
    <tableColumn id="20" xr3:uid="{7FCD800D-5C1D-4610-A41E-82A8E6BA5D57}" name="Condición" dataDxfId="396">
      <calculatedColumnFormula>IF(Estudiantes[[#This Row],[Promedio Anual]]&gt;=$I$4,"APROBADO","REPROBADO")</calculatedColumnFormula>
    </tableColumn>
    <tableColumn id="22" xr3:uid="{3F980721-1D27-4AD1-A585-5019A376D7B9}" name="Estrategia de Promoción I" dataDxfId="395">
      <calculatedColumnFormula>IF(Estudiantes[[#This Row],[Promedio Anual]]&gt;=$I$4,"NO NECESITA","PENDIENTE")</calculatedColumnFormula>
    </tableColumn>
    <tableColumn id="23" xr3:uid="{513EC390-AA94-4E85-A9BE-9A98CC32A18D}" name="Estrategia de Promoción II" dataDxfId="394">
      <calculatedColumnFormula>IF(Estudiantes[[#This Row],[Promedio Anual]]&gt;=70,
    "NO NECESITA",
    IF(AND(ISNUMBER(Estudiantes[[#This Row],[Estrategia de Promoción I]]),
         Estudiantes[[#This Row],[Estrategia de Promoción I]]&gt;=70),
        "NO NECESITÓ",
        "PENDIENTE"))</calculatedColumnFormula>
    </tableColumn>
    <tableColumn id="21" xr3:uid="{DFA89443-53A9-480B-A6B7-18D34E71D6BE}" name="CONCIDIÓN SEGÚN ESTRATEGIA" dataDxfId="393">
      <calculatedColumnFormula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calculatedColumnFormula>
    </tableColumn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531692F0-7E53-439C-AAFB-7B2830B7E7E7}" name="Estudiantes3" displayName="Estudiantes3" ref="A12:FN27" totalsRowShown="0" headerRowDxfId="387" dataDxfId="386">
  <sortState xmlns:xlrd2="http://schemas.microsoft.com/office/spreadsheetml/2017/richdata2" ref="A13:D13">
    <sortCondition descending="1" ref="C12"/>
  </sortState>
  <tableColumns count="170">
    <tableColumn id="1" xr3:uid="{D41C27E5-3C43-42BF-B7F6-0B1217D0C608}" name="Primer Apellido" dataDxfId="385"/>
    <tableColumn id="2" xr3:uid="{91FF1CF3-50A2-4B81-9BF9-AF55B8082C18}" name="Segundo Apellido" dataDxfId="384"/>
    <tableColumn id="3" xr3:uid="{AAF1C66F-8ED2-411E-8DC5-7CCFBD0B9D10}" name="Nombre" dataDxfId="383"/>
    <tableColumn id="4" xr3:uid="{251928EC-DCA3-4CBA-B5F6-517B2325647D}" name="Cédula" dataDxfId="382"/>
    <tableColumn id="5" xr3:uid="{11E913E2-23A1-4DB2-B03F-14ADA9A76EFD}" name="Columna1" dataDxfId="381">
      <calculatedColumnFormula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calculatedColumnFormula>
    </tableColumn>
    <tableColumn id="6" xr3:uid="{80B70423-938F-4D82-B91B-A28801509F8B}" name="Columna2" dataDxfId="380">
      <calculatedColumnFormula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calculatedColumnFormula>
    </tableColumn>
    <tableColumn id="7" xr3:uid="{216B76C8-7652-42C5-B5AA-4DC8B00C70BF}" name="Columna3" dataDxfId="379">
      <calculatedColumnFormula>SUM(K13,S13,AA13,AI13,AQ13,AY13,BG13,BO13,BW13,CE13,CM13,CU13,DC13,DK13,DS13,EA13,EI13,EQ13,EY13,FG13,)</calculatedColumnFormula>
    </tableColumn>
    <tableColumn id="8" xr3:uid="{460EF21E-EB46-476C-9D3C-9A60888051C9}" name="0" dataDxfId="378">
      <calculatedColumnFormula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calculatedColumnFormula>
    </tableColumn>
    <tableColumn id="9" xr3:uid="{750EBF8E-2775-4EAC-BF03-33F85023F7D0}" name="1" dataDxfId="377"/>
    <tableColumn id="10" xr3:uid="{A5D56D90-2D22-497E-B5BE-180FED057FD6}" name="2" dataDxfId="376"/>
    <tableColumn id="11" xr3:uid="{9F7A1DAD-2050-4E96-AA16-8DA781FC74BC}" name="3" dataDxfId="375"/>
    <tableColumn id="12" xr3:uid="{F5A66B8C-DC02-4DA3-B60B-B8FB3E403482}" name="Columna4" dataDxfId="374"/>
    <tableColumn id="16" xr3:uid="{28266676-FE1B-43F3-97E2-04CFFB190834}" name="23-ene" dataDxfId="373"/>
    <tableColumn id="17" xr3:uid="{3C2A0A91-822A-46D4-9BF1-9FE6B90D305F}" name="Columna10" dataDxfId="372"/>
    <tableColumn id="18" xr3:uid="{400DF3C2-5CE4-422C-A6F9-9E71D770AD54}" name="Columna11" dataDxfId="371">
      <calculatedColumnFormula>IF(ISBLANK(Estudiantes3[[#This Row],[Columna10]]),Estudiantes3[[#This Row],[AJ]],Estudiantes3[[#This Row],[Columna10]])</calculatedColumnFormula>
    </tableColumn>
    <tableColumn id="19" xr3:uid="{EE55EE3F-6911-4D5C-B7FE-9F8C8B882AA6}" name="AJ" dataDxfId="370"/>
    <tableColumn id="20" xr3:uid="{096BFF1D-1973-4564-A0A8-B179AF36B3F3}" name="Columna12" dataDxfId="369"/>
    <tableColumn id="21" xr3:uid="{839534BA-257E-4F6D-8ED1-FF011DE594F7}" name="Columna13" dataDxfId="368"/>
    <tableColumn id="22" xr3:uid="{B2DF22C3-B8EA-42CB-BFC5-7BEB5FC806F6}" name="22" dataDxfId="367"/>
    <tableColumn id="23" xr3:uid="{858D0EE6-FC00-4801-8A62-E3D7E61676CA}" name="Columna15" dataDxfId="366"/>
    <tableColumn id="24" xr3:uid="{ECA7BD51-F21C-4496-98F2-16B75BE9EEB5}" name="Columna16" dataDxfId="365"/>
    <tableColumn id="25" xr3:uid="{C314F164-C065-496A-B896-A2A8F1350C7E}" name="Columna17" dataDxfId="364"/>
    <tableColumn id="26" xr3:uid="{2AA0533B-C6D1-45D0-82CE-77EB57A644B7}" name="Columna18" dataDxfId="363">
      <calculatedColumnFormula>IF(ISBLANK(Estudiantes3[[#This Row],[Columna17]]),Estudiantes3[[#This Row],[Columna19]],Estudiantes3[[#This Row],[Columna17]])</calculatedColumnFormula>
    </tableColumn>
    <tableColumn id="27" xr3:uid="{C9C73471-A72C-41C6-9BB5-9A70687C379E}" name="Columna19" dataDxfId="362"/>
    <tableColumn id="28" xr3:uid="{9CC9824A-359D-4EA3-A9B7-E2325B22361C}" name="Columna20" dataDxfId="361"/>
    <tableColumn id="29" xr3:uid="{66A44878-461F-4016-B5B4-0022BDF1AD19}" name="Columna21" dataDxfId="360"/>
    <tableColumn id="30" xr3:uid="{4151CAFB-C884-4688-B23C-EADC944B8732}" name="Columna22" dataDxfId="359"/>
    <tableColumn id="31" xr3:uid="{CF1CB430-6C49-43C7-A268-DA55EBF3A081}" name="Columna23" dataDxfId="358"/>
    <tableColumn id="32" xr3:uid="{1FE31B09-3DC7-4C13-A45C-DA265F5CB707}" name="Columna24" dataDxfId="357"/>
    <tableColumn id="33" xr3:uid="{0130D7C5-03DC-4489-8E88-C4E6F1AF7097}" name="Columna25" dataDxfId="356"/>
    <tableColumn id="34" xr3:uid="{02D659F3-44C4-4A4C-B6D7-8114192EB76F}" name="Columna26" dataDxfId="355">
      <calculatedColumnFormula>IF(ISBLANK(Estudiantes3[[#This Row],[Columna25]]),Estudiantes3[[#This Row],[Columna27]],Estudiantes3[[#This Row],[Columna25]])</calculatedColumnFormula>
    </tableColumn>
    <tableColumn id="35" xr3:uid="{44162C01-2B13-48F9-B936-95C8B61B1C95}" name="Columna27" dataDxfId="354"/>
    <tableColumn id="36" xr3:uid="{D9AE321A-546E-47CD-A4ED-05F00BBBD0C7}" name="Columna28" dataDxfId="353"/>
    <tableColumn id="37" xr3:uid="{88DB0A73-CEBD-4024-AE08-3913A131CDBD}" name="Columna29" dataDxfId="352"/>
    <tableColumn id="38" xr3:uid="{08C1337C-19DF-42C8-A0A0-ED3E5B5A4CAE}" name="Columna30" dataDxfId="351"/>
    <tableColumn id="39" xr3:uid="{BB0DA51A-4A7F-47D6-985F-AF25F18C8308}" name="Columna31" dataDxfId="350"/>
    <tableColumn id="40" xr3:uid="{0A859E21-EE15-4C8B-A205-688126BA8476}" name="Columna32" dataDxfId="349"/>
    <tableColumn id="41" xr3:uid="{D61CC198-B454-4DD7-9E20-79C87259823D}" name="Columna33" dataDxfId="348"/>
    <tableColumn id="42" xr3:uid="{1AE88625-49AB-4251-87B6-EA76FF0CDC23}" name="Columna34" dataDxfId="347">
      <calculatedColumnFormula>IF(ISBLANK(Estudiantes3[[#This Row],[Columna33]]),Estudiantes3[[#This Row],[Columna35]],Estudiantes3[[#This Row],[Columna33]])</calculatedColumnFormula>
    </tableColumn>
    <tableColumn id="43" xr3:uid="{1BC501EB-3DF8-4A5F-8F23-DEA1DCC0F765}" name="Columna35" dataDxfId="346"/>
    <tableColumn id="44" xr3:uid="{1B044A3D-1713-4EBE-921A-2A9F0BFF4B1D}" name="Columna36" dataDxfId="345"/>
    <tableColumn id="45" xr3:uid="{BD5F9388-9874-47CC-AD5F-83EA7460323B}" name="Columna37" dataDxfId="344"/>
    <tableColumn id="46" xr3:uid="{B04FC081-B7A8-45AA-997E-9E222C7255C7}" name="Columna38" dataDxfId="343"/>
    <tableColumn id="47" xr3:uid="{F462AD4D-F3AF-4BB1-87EA-6470D9DC145D}" name="Columna39" dataDxfId="342"/>
    <tableColumn id="48" xr3:uid="{851AF0AB-7065-47BC-A260-22EC28C8E7AC}" name="Columna40" dataDxfId="341"/>
    <tableColumn id="49" xr3:uid="{93482776-E283-4CF6-AB01-F859BCE9EEDB}" name="Columna41" dataDxfId="340"/>
    <tableColumn id="50" xr3:uid="{6AF17251-F5FA-4544-9D5D-77CA3B0D31D4}" name="Columna42" dataDxfId="339">
      <calculatedColumnFormula>IF(ISBLANK(Estudiantes3[[#This Row],[Columna41]]),Estudiantes3[[#This Row],[Columna43]],Estudiantes3[[#This Row],[Columna41]])</calculatedColumnFormula>
    </tableColumn>
    <tableColumn id="51" xr3:uid="{295696F8-EE98-4293-B7A1-FC815FFC3ADA}" name="Columna43" dataDxfId="338"/>
    <tableColumn id="52" xr3:uid="{7A3C64CE-EAF4-4222-BD82-40657C5D1206}" name="Columna44" dataDxfId="337"/>
    <tableColumn id="53" xr3:uid="{8291F3CE-F0FC-4B0E-9D15-4097A43CE8BE}" name="Columna45" dataDxfId="336"/>
    <tableColumn id="54" xr3:uid="{9137EB06-55BB-4405-A4FB-6AE9AA80F5C2}" name="Columna46" dataDxfId="335"/>
    <tableColumn id="55" xr3:uid="{8D80F5D8-5145-49EE-97A7-4E67952940AF}" name="Columna47" dataDxfId="334"/>
    <tableColumn id="56" xr3:uid="{D11604C7-3212-4232-A667-A9EB86C59AC6}" name="Columna48" dataDxfId="333"/>
    <tableColumn id="57" xr3:uid="{38EB85D4-FFB6-4618-B955-4A9608BB845B}" name="Columna49" dataDxfId="332"/>
    <tableColumn id="58" xr3:uid="{F197C875-5583-40EB-917F-69390F0F5EF8}" name="Columna50" dataDxfId="331">
      <calculatedColumnFormula>IF(ISBLANK(Estudiantes3[[#This Row],[Columna49]]),Estudiantes3[[#This Row],[Columna51]],Estudiantes3[[#This Row],[Columna49]])</calculatedColumnFormula>
    </tableColumn>
    <tableColumn id="59" xr3:uid="{C4124C45-DD68-41CD-9794-1D73739F4EAD}" name="Columna51" dataDxfId="330"/>
    <tableColumn id="60" xr3:uid="{0F847B36-40F6-4F2A-8ED1-ED80605AA442}" name="Columna52" dataDxfId="329"/>
    <tableColumn id="61" xr3:uid="{B04D1D36-EABD-4938-9C4F-DB9C14540681}" name="Columna53" dataDxfId="328"/>
    <tableColumn id="62" xr3:uid="{E234C7CC-B13A-451E-BD71-3FAE1F36AA30}" name="Columna54" dataDxfId="327"/>
    <tableColumn id="63" xr3:uid="{0D51F386-DEF0-4C3D-838F-4C19B2983837}" name="Columna55" dataDxfId="326"/>
    <tableColumn id="64" xr3:uid="{DE5E934C-1C09-4760-9A95-2E18B5480206}" name="Columna56" dataDxfId="325"/>
    <tableColumn id="65" xr3:uid="{D55EA059-DF4B-4432-B97B-9F6C3A5CA326}" name="Columna57" dataDxfId="324"/>
    <tableColumn id="66" xr3:uid="{04B22426-FB84-41E0-94B8-DCDE0DB4E92A}" name="Columna58" dataDxfId="323">
      <calculatedColumnFormula>IF(ISBLANK(Estudiantes3[[#This Row],[Columna57]]),Estudiantes3[[#This Row],[Columna59]],Estudiantes3[[#This Row],[Columna57]])</calculatedColumnFormula>
    </tableColumn>
    <tableColumn id="67" xr3:uid="{AF709E07-8ADE-4A24-ACC8-6B48B03F7920}" name="Columna59" dataDxfId="322"/>
    <tableColumn id="68" xr3:uid="{A98E761D-55A3-40E9-8580-D23076AC00D2}" name="Columna60" dataDxfId="321"/>
    <tableColumn id="69" xr3:uid="{9E83EA11-45C5-42BC-A577-64CB2CEA23B4}" name="Columna61" dataDxfId="320"/>
    <tableColumn id="70" xr3:uid="{E7A2B704-8286-4E5F-AC25-04E2ED5C6833}" name="Columna62" dataDxfId="319"/>
    <tableColumn id="71" xr3:uid="{BA438CC8-D49D-47C7-97AE-8277A91567C2}" name="Columna63" dataDxfId="318"/>
    <tableColumn id="72" xr3:uid="{8A1B06E1-7F05-459E-BDD7-0E68D3F449E2}" name="Columna64" dataDxfId="317"/>
    <tableColumn id="73" xr3:uid="{30329FC0-6F31-44B0-9D10-A72B16B0438E}" name="Columna65" dataDxfId="316"/>
    <tableColumn id="74" xr3:uid="{31CB8D2A-0650-4BC1-B424-07AE33BE54ED}" name="Columna66" dataDxfId="315">
      <calculatedColumnFormula>IF(ISBLANK(Estudiantes3[[#This Row],[Columna65]]),Estudiantes3[[#This Row],[Columna67]],Estudiantes3[[#This Row],[Columna65]])</calculatedColumnFormula>
    </tableColumn>
    <tableColumn id="75" xr3:uid="{EF87D286-7456-4748-80F6-43DD16F6FBF3}" name="Columna67" dataDxfId="314"/>
    <tableColumn id="76" xr3:uid="{65AA9493-9A7C-4378-8614-F65469DA6363}" name="Columna68" dataDxfId="313"/>
    <tableColumn id="77" xr3:uid="{D253C151-88D9-480C-AEC7-0B692F4B6B81}" name="Columna69" dataDxfId="312"/>
    <tableColumn id="78" xr3:uid="{2337CC73-1A81-4988-B9FB-F90882F496EA}" name="Columna70" dataDxfId="311"/>
    <tableColumn id="79" xr3:uid="{AF98F542-6CFE-4CAE-862D-EF613BC6CFA5}" name="Columna71" dataDxfId="310"/>
    <tableColumn id="80" xr3:uid="{1D43DD09-4861-4A26-8475-BAD19B15F773}" name="Columna72" dataDxfId="309"/>
    <tableColumn id="81" xr3:uid="{A41F61C3-4070-4AB6-AF06-D74E4EA348E8}" name="Columna73" dataDxfId="308"/>
    <tableColumn id="82" xr3:uid="{6EC41412-FEC9-4D4F-8AF4-423069AE7FD3}" name="Columna74" dataDxfId="307">
      <calculatedColumnFormula>IF(ISBLANK(Estudiantes3[[#This Row],[Columna73]]),Estudiantes3[[#This Row],[Columna75]],Estudiantes3[[#This Row],[Columna73]])</calculatedColumnFormula>
    </tableColumn>
    <tableColumn id="83" xr3:uid="{55A6CE36-660F-4CF6-8A7B-48682AAED2B6}" name="Columna75" dataDxfId="306"/>
    <tableColumn id="84" xr3:uid="{C445800C-45C0-4CCB-AC70-B3BDAE73AFC5}" name="Columna76" dataDxfId="305"/>
    <tableColumn id="85" xr3:uid="{F5EB02FF-E6FF-4D81-9432-B0CF9CA843D8}" name="Columna77" dataDxfId="304"/>
    <tableColumn id="86" xr3:uid="{E1DEB543-60B6-4298-BA20-69BF2BBE7D21}" name="Columna78" dataDxfId="303"/>
    <tableColumn id="87" xr3:uid="{FEC00CC9-0931-4246-A579-880F560EAF44}" name="Columna79" dataDxfId="302"/>
    <tableColumn id="88" xr3:uid="{4A182929-8C09-4848-8A19-0AAE84327A47}" name="Columna80" dataDxfId="301"/>
    <tableColumn id="89" xr3:uid="{3BF6D8B2-AB30-4C3F-A42D-0A78A855045D}" name="Columna81" dataDxfId="300"/>
    <tableColumn id="90" xr3:uid="{30D3D968-BF9D-4994-A5B5-316057A4F2C1}" name="Columna82" dataDxfId="299">
      <calculatedColumnFormula>IF(ISBLANK(Estudiantes3[[#This Row],[Columna81]]),Estudiantes3[[#This Row],[Columna83]],Estudiantes3[[#This Row],[Columna81]])</calculatedColumnFormula>
    </tableColumn>
    <tableColumn id="91" xr3:uid="{DCE64677-F3A8-4352-8504-99FE3622C12A}" name="Columna83" dataDxfId="298"/>
    <tableColumn id="92" xr3:uid="{546EF724-C496-4C31-BDF8-F2D3EBE4CBF9}" name="Columna84" dataDxfId="297"/>
    <tableColumn id="93" xr3:uid="{64EF7FB4-DD4B-4FA6-859E-1FB25149BE79}" name="Columna85" dataDxfId="296"/>
    <tableColumn id="94" xr3:uid="{C7562B80-0883-439F-A8B6-721C2A98049A}" name="Columna86" dataDxfId="295"/>
    <tableColumn id="95" xr3:uid="{5E8386E4-4C98-4E81-A132-35EB591FAD5B}" name="Columna87" dataDxfId="294"/>
    <tableColumn id="96" xr3:uid="{5B3BD2CC-5476-4A87-A6B5-01BC59AD6B9C}" name="Columna88" dataDxfId="293"/>
    <tableColumn id="97" xr3:uid="{03FECCB0-5091-4A39-8B88-B2A7F5C6AB1C}" name="Columna89" dataDxfId="292"/>
    <tableColumn id="98" xr3:uid="{5777DF14-859C-4F12-B764-4AB3FFFC5782}" name="Columna90" dataDxfId="291">
      <calculatedColumnFormula>IF(ISBLANK(Estudiantes3[[#This Row],[Columna89]]),Estudiantes3[[#This Row],[Columna91]],Estudiantes3[[#This Row],[Columna89]])</calculatedColumnFormula>
    </tableColumn>
    <tableColumn id="99" xr3:uid="{DF3B1D34-226C-4DAA-AAAE-BA62A92D73E5}" name="Columna91" dataDxfId="290"/>
    <tableColumn id="100" xr3:uid="{2FA8C956-C953-46B7-9C4B-7412A0393F32}" name="Columna92" dataDxfId="289"/>
    <tableColumn id="101" xr3:uid="{D8ABC92A-EF21-4106-917C-AAF2F081B03B}" name="Columna93" dataDxfId="288"/>
    <tableColumn id="102" xr3:uid="{CEF790D5-C565-472A-B214-9A129790D88F}" name="Columna94" dataDxfId="287"/>
    <tableColumn id="103" xr3:uid="{F4614891-34CE-4599-9B1D-97EF8950708B}" name="Columna95" dataDxfId="286"/>
    <tableColumn id="104" xr3:uid="{5B60A886-EFCE-4D14-B798-E93EA3A74420}" name="Columna96" dataDxfId="285"/>
    <tableColumn id="105" xr3:uid="{6BBA50CC-2C1D-4392-AB96-BB5C193C7E27}" name="Columna97" dataDxfId="284"/>
    <tableColumn id="106" xr3:uid="{28D1B8FB-357E-414E-BBFA-E2B1258EB6DF}" name="Columna98" dataDxfId="283">
      <calculatedColumnFormula>IF(ISBLANK(Estudiantes3[[#This Row],[Columna97]]),Estudiantes3[[#This Row],[Columna99]],Estudiantes3[[#This Row],[Columna97]])</calculatedColumnFormula>
    </tableColumn>
    <tableColumn id="107" xr3:uid="{D936523F-A803-49DE-A8FB-EB7C4426BD31}" name="Columna99" dataDxfId="282"/>
    <tableColumn id="108" xr3:uid="{48395E39-F4A6-485F-90CD-AD3B68458149}" name="Columna100" dataDxfId="281"/>
    <tableColumn id="109" xr3:uid="{6D57E31D-E927-4108-9F16-CED7453F5EA6}" name="Columna101" dataDxfId="280"/>
    <tableColumn id="110" xr3:uid="{CCA6D4C9-8B04-4CC7-A665-F9AFA9175E95}" name="Columna102" dataDxfId="279"/>
    <tableColumn id="111" xr3:uid="{D4C6EE29-B961-4060-9FDD-6B1A46922C05}" name="Columna103" dataDxfId="278"/>
    <tableColumn id="112" xr3:uid="{EEA27D42-1D6B-435E-9626-F0C21E3B2052}" name="Columna104" dataDxfId="277"/>
    <tableColumn id="113" xr3:uid="{3D99209A-2E35-4727-9441-9D192647A5E2}" name="Columna105" dataDxfId="276"/>
    <tableColumn id="114" xr3:uid="{5961854F-CC0B-4E9F-9E7E-60C90DDDBE6A}" name="Columna106" dataDxfId="275">
      <calculatedColumnFormula>IF(ISBLANK(Estudiantes3[[#This Row],[Columna105]]),Estudiantes3[[#This Row],[Columna107]],Estudiantes3[[#This Row],[Columna105]])</calculatedColumnFormula>
    </tableColumn>
    <tableColumn id="115" xr3:uid="{8D204D63-3A9A-48DA-9961-CB06DAB244A6}" name="Columna107" dataDxfId="274"/>
    <tableColumn id="116" xr3:uid="{9BA42736-C6E8-42A1-8FCB-7F3809B1A5AD}" name="Columna108" dataDxfId="273"/>
    <tableColumn id="117" xr3:uid="{8440250F-5A55-41C3-8774-65D1DEAAA9BC}" name="Columna109" dataDxfId="272"/>
    <tableColumn id="118" xr3:uid="{85D8F8CC-AC34-4E39-8F4F-91DC94248E18}" name="Columna110" dataDxfId="271"/>
    <tableColumn id="119" xr3:uid="{F88A4BB6-2DBB-4353-A250-7B7BCCA864FB}" name="Columna111" dataDxfId="270"/>
    <tableColumn id="120" xr3:uid="{0260869B-F536-4C1D-9E7D-BC67D94B5918}" name="Columna112" dataDxfId="269"/>
    <tableColumn id="121" xr3:uid="{F9CFD31B-E8F4-4D90-B389-165A29C59AC2}" name="Columna113" dataDxfId="268"/>
    <tableColumn id="122" xr3:uid="{A68EC66E-CC43-4558-B722-2449E77DDDAE}" name="Columna114" dataDxfId="267">
      <calculatedColumnFormula>IF(ISBLANK(Estudiantes3[[#This Row],[Columna113]]),Estudiantes3[[#This Row],[Columna115]],Estudiantes3[[#This Row],[Columna113]])</calculatedColumnFormula>
    </tableColumn>
    <tableColumn id="123" xr3:uid="{4AAD5239-3F51-4198-B3DC-F89CCD820B98}" name="Columna115" dataDxfId="266"/>
    <tableColumn id="124" xr3:uid="{0569BE75-F91C-45F3-80E8-04429303DD5E}" name="Columna116" dataDxfId="265"/>
    <tableColumn id="125" xr3:uid="{A0BDD877-6370-4991-896D-4E9598FA3689}" name="Columna117" dataDxfId="264"/>
    <tableColumn id="126" xr3:uid="{37ABB99B-FA4A-428B-97A9-12C5A4E76B53}" name="Columna118" dataDxfId="263"/>
    <tableColumn id="127" xr3:uid="{7D63A8D7-D544-4E62-9FC6-41AD94FFA608}" name="Columna119" dataDxfId="262"/>
    <tableColumn id="128" xr3:uid="{4E0DDAA1-FA30-4247-AB4C-59B6A3D03D6E}" name="Columna120" dataDxfId="261"/>
    <tableColumn id="129" xr3:uid="{57183121-E02B-4562-8006-867FF981F78D}" name="Columna121" dataDxfId="260"/>
    <tableColumn id="130" xr3:uid="{EC57D5AB-BA4F-4DE5-ACC1-9D9B10DE201A}" name="Columna122" dataDxfId="259">
      <calculatedColumnFormula>IF(ISBLANK(Estudiantes3[[#This Row],[Columna121]]),Estudiantes3[[#This Row],[Columna123]],Estudiantes3[[#This Row],[Columna121]])</calculatedColumnFormula>
    </tableColumn>
    <tableColumn id="131" xr3:uid="{2234DEFF-1A51-41DA-A81F-C08A4B6D14A7}" name="Columna123" dataDxfId="258"/>
    <tableColumn id="132" xr3:uid="{645F0AFD-6083-432A-A1EB-2135B73CAA33}" name="Columna124" dataDxfId="257"/>
    <tableColumn id="133" xr3:uid="{7A7976ED-0220-4475-BE20-0DC6E0FD3037}" name="Columna125" dataDxfId="256"/>
    <tableColumn id="134" xr3:uid="{94DBFE10-5F1A-4B5F-A0A1-BD22260313F1}" name="Columna126" dataDxfId="255"/>
    <tableColumn id="135" xr3:uid="{5EF2F3E8-AB92-4955-922D-F3E3699FA4BB}" name="Columna127" dataDxfId="254"/>
    <tableColumn id="136" xr3:uid="{9780E57D-E4B7-4086-8C2D-636F9D029661}" name="Columna128" dataDxfId="253"/>
    <tableColumn id="137" xr3:uid="{4BD4CBD5-727F-4ACF-8953-AE0283A9AF12}" name="Columna129" dataDxfId="252"/>
    <tableColumn id="138" xr3:uid="{CA314766-BCC4-41A5-A288-9792CF221EA3}" name="Columna130" dataDxfId="251">
      <calculatedColumnFormula>IF(ISBLANK(Estudiantes3[[#This Row],[Columna129]]),Estudiantes3[[#This Row],[Columna131]],Estudiantes3[[#This Row],[Columna129]])</calculatedColumnFormula>
    </tableColumn>
    <tableColumn id="139" xr3:uid="{59FC37C6-C8CC-4875-90CD-A232593AEC46}" name="Columna131" dataDxfId="250"/>
    <tableColumn id="140" xr3:uid="{BA8B1255-7B4F-4A52-AAC9-D287AE7EA2FF}" name="Columna132" dataDxfId="249"/>
    <tableColumn id="141" xr3:uid="{2678EB5C-DE06-4C99-B42A-127490F65711}" name="Columna133" dataDxfId="248"/>
    <tableColumn id="142" xr3:uid="{29D22B03-5A39-40BB-987B-7887F458809C}" name="Columna134" dataDxfId="247"/>
    <tableColumn id="143" xr3:uid="{035C8105-2C98-4F8A-829C-8D9B2ED4D544}" name="Columna135" dataDxfId="246"/>
    <tableColumn id="144" xr3:uid="{4EE65196-B526-4C19-8A19-9B90252AC1CF}" name="Columna136" dataDxfId="245"/>
    <tableColumn id="145" xr3:uid="{CA8F7D48-D53B-482E-93CA-472AF1C522CB}" name="Columna137" dataDxfId="244"/>
    <tableColumn id="146" xr3:uid="{29AB2E22-494A-4F4F-8635-6176077F15DF}" name="Columna138" dataDxfId="243">
      <calculatedColumnFormula>IF(ISBLANK(Estudiantes3[[#This Row],[Columna137]]),Estudiantes3[[#This Row],[Columna139]],Estudiantes3[[#This Row],[Columna137]])</calculatedColumnFormula>
    </tableColumn>
    <tableColumn id="147" xr3:uid="{2B6F62F9-05CE-4A34-A4BA-7F882CBF5747}" name="Columna139" dataDxfId="242"/>
    <tableColumn id="148" xr3:uid="{20F14E9C-6476-4596-AA3B-0943536461CA}" name="Columna140" dataDxfId="241"/>
    <tableColumn id="149" xr3:uid="{96C90795-852F-42D3-BD09-2E284229E4B7}" name="Columna141" dataDxfId="240"/>
    <tableColumn id="150" xr3:uid="{BD3D6088-227A-4E4C-BF59-FA380206FB85}" name="Columna142" dataDxfId="239"/>
    <tableColumn id="151" xr3:uid="{253C912B-D682-4649-BBE8-1BA9E36AF2AB}" name="Columna143" dataDxfId="238"/>
    <tableColumn id="152" xr3:uid="{EB713AB6-73DC-479E-9BF1-9112E6A7D0D1}" name="Columna144" dataDxfId="237"/>
    <tableColumn id="153" xr3:uid="{38E74437-D56D-46DF-84DC-772A8C664A0A}" name="Columna145" dataDxfId="236"/>
    <tableColumn id="154" xr3:uid="{0B71808C-0880-4ECB-BDD4-6D7ACCBFDC75}" name="Columna146" dataDxfId="235">
      <calculatedColumnFormula>IF(ISBLANK(Estudiantes3[[#This Row],[Columna145]]),Estudiantes3[[#This Row],[Columna147]],Estudiantes3[[#This Row],[Columna145]])</calculatedColumnFormula>
    </tableColumn>
    <tableColumn id="155" xr3:uid="{7E512D90-9654-4737-9C4E-61BA23580D0A}" name="Columna147" dataDxfId="234"/>
    <tableColumn id="156" xr3:uid="{8E6C5250-3F52-426C-B85F-F765151C406F}" name="Columna148" dataDxfId="233"/>
    <tableColumn id="157" xr3:uid="{076A602F-2BDF-4930-97F6-3B1F1AAF0C6E}" name="Columna149" dataDxfId="232"/>
    <tableColumn id="158" xr3:uid="{8DB30734-08D3-4F8F-9169-462C515CE6DF}" name="Columna150" dataDxfId="231"/>
    <tableColumn id="159" xr3:uid="{D24D0F61-6659-49D8-A429-589983A7BABF}" name="Columna151" dataDxfId="230"/>
    <tableColumn id="160" xr3:uid="{59A18633-59B1-486A-819C-83A5676724CD}" name="Columna152" dataDxfId="229"/>
    <tableColumn id="161" xr3:uid="{8EBE9FCD-E583-401E-9BAF-4512BC0B61EE}" name="Columna153" dataDxfId="228"/>
    <tableColumn id="162" xr3:uid="{2DE8BA5F-87D7-4216-9E94-5544D928F731}" name="Columna154" dataDxfId="227">
      <calculatedColumnFormula>IF(ISBLANK(Estudiantes3[[#This Row],[Columna153]]),Estudiantes3[[#This Row],[Columna155]],Estudiantes3[[#This Row],[Columna153]])</calculatedColumnFormula>
    </tableColumn>
    <tableColumn id="163" xr3:uid="{B623E018-C583-4C40-B28C-DF7FDD937D9E}" name="Columna155" dataDxfId="226"/>
    <tableColumn id="164" xr3:uid="{49ADB99A-C341-482C-8A7D-2B3850CCE7AC}" name="Columna156" dataDxfId="225"/>
    <tableColumn id="165" xr3:uid="{FAEA88E8-A271-41B9-BF90-F7690720BD70}" name="Columna157" dataDxfId="224"/>
    <tableColumn id="166" xr3:uid="{1C11444E-0F31-41AA-BB52-6B8408C70924}" name="Columna158" dataDxfId="223"/>
    <tableColumn id="167" xr3:uid="{804E544D-76B3-4018-B0A9-465BC1CD58C5}" name="Columna159" dataDxfId="222"/>
    <tableColumn id="168" xr3:uid="{53189CE7-6FE9-40D9-AE32-0591F3A4C35A}" name="Columna160" dataDxfId="221"/>
    <tableColumn id="169" xr3:uid="{C633CB89-0AEC-4108-A984-E29FED8CEA41}" name="Columna161" dataDxfId="220"/>
    <tableColumn id="170" xr3:uid="{49EB60F4-6494-418C-8ECA-71888FE0BE89}" name="Columna162" dataDxfId="219">
      <calculatedColumnFormula>IF(ISBLANK(Estudiantes3[[#This Row],[Columna161]]),Estudiantes3[[#This Row],[Columna163]],Estudiantes3[[#This Row],[Columna161]])</calculatedColumnFormula>
    </tableColumn>
    <tableColumn id="171" xr3:uid="{14A26DF4-AC34-47C0-AF85-49CFF83A844E}" name="Columna163" dataDxfId="218"/>
    <tableColumn id="15" xr3:uid="{B315111F-9AAC-4A59-8DBE-254E65709DE7}" name="Columna164" dataDxfId="217">
      <calculatedColumnFormula>$I$6*IF(O13=1,0.25,IF(O13=2,0.5,IF(O13=3,1,0)))+$Q$6*IF(W13=1,0.25,IF(W13=2,0.5,IF(W13=3,1,0)))+$Y$6*IF(AE13=1,0.25,IF(AE13=2,0.5,IF(AE13=3,1,0)))+$AG$6*IF(AM13=1,0.25,IF(AM13=2,0.5,IF(AM13=3,1,0)))+$AO$6*IF(AU13=1,0.25,IF(AU13=2,0.5,IF(AU13=3,1,0)))+$AW$6*IF(BC13=1,0.25,IF(BC13=2,0.5,IF(BC13=3,1,0)))+$BE$6*IF(BK13=1,0.25,IF(BK13=2,0.5,IF(BK13=3,1,0)))+$BM$6*IF(BS13=1,0.25,IF(BS13=2,0.5,IF(BS13=3,1,0)))+$BU$6*IF(CA13=1,0.25,IF(CA13=2,0.5,IF(CA13=3,1,0)))+$CC$6*IF(CI13=1,0.25,IF(CI13=2,0.5,IF(CI13=3,1,0)))+$CK$6*IF(CQ13=1,0.25,IF(CQ13=2,0.5,IF(CQ13=3,1,0)))+$CS$6*IF(CY13=1,0.25,IF(CY13=2,0.5,IF(CY13=3,1,0)))+$DA$6*IF(DG13=1,0.25,IF(DG13=2,0.5,IF(DG13=3,1,0)))+$DI$6*IF(DO13=1,0.25,IF(DO13=2,0.5,IF(DO13=3,1,0)))+$DQ$6*IF(DW13=1,0.25,IF(DW13=2,0.5,IF(DW13=3,1,0)))+$DY$6*IF(EE13=1,0.25,IF(EE13=2,0.5,IF(EE13=3,1,0)))+$EG$6*IF(EM13=1,0.25,IF(EM13=2,0.5,IF(EM13=3,1,0)))+$EO$6*IF(EU13=1,0.25,IF(EU13=2,0.5,IF(EU13=3,1,0)))+$EW$6*IF(FC13=1,0.25,IF(FC13=2,0.5,IF(FC13=3,1,0)))+$FE$6*IF(FK13=1,0.25,IF(FK13=2,0.5,IF(FK13=3,1,0)))</calculatedColumnFormula>
    </tableColumn>
    <tableColumn id="172" xr3:uid="{FC1E8130-0AF0-4C1F-9057-A49B9ADD0250}" name="Columna165" dataDxfId="216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D7D3A02B-69A0-468A-971C-137A3C3C6342}" name="Estudiantes4" displayName="Estudiantes4" ref="A12:J27" totalsRowShown="0" headerRowDxfId="215" dataDxfId="214">
  <tableColumns count="10">
    <tableColumn id="1" xr3:uid="{FD42AAF2-7044-49DA-AD84-FF142499DC97}" name="Primer Apellido" dataDxfId="213"/>
    <tableColumn id="2" xr3:uid="{38AD7C83-9605-42FF-A33C-5C0FCFDFBEB6}" name="Segundo Apellido" dataDxfId="212"/>
    <tableColumn id="3" xr3:uid="{F61FB3DD-FAD1-4857-A0B3-E9AFA85D39C4}" name="Nombre" dataDxfId="211"/>
    <tableColumn id="4" xr3:uid="{5C314A00-186D-4905-A10A-46ED3CB68530}" name="Cédula" dataDxfId="210"/>
    <tableColumn id="5" xr3:uid="{6F54C7D6-9A04-4228-8E05-10D54E0AB52B}" name="Columna1" dataDxfId="209"/>
    <tableColumn id="6" xr3:uid="{8B5BA682-9D85-4417-A7F6-1248E421E2DE}" name="Tarea 1 IP" dataDxfId="208"/>
    <tableColumn id="7" xr3:uid="{56D196B9-C834-4AA3-B2F7-5134B74497B0}" name="Tarea 2 IP" dataDxfId="207"/>
    <tableColumn id="8" xr3:uid="{B5A57CEF-CF0C-422D-A7B0-89BE60603F72}" name="Columna2" dataDxfId="206"/>
    <tableColumn id="9" xr3:uid="{D3AA525D-2413-41F5-880F-D4E6DF090CCA}" name="Tarea 1 IIP" dataDxfId="205"/>
    <tableColumn id="10" xr3:uid="{DA43D993-25BA-45B9-A10F-7F2EBC51A184}" name="Tarea 2 IIP" dataDxfId="204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9FFE9DA-F372-40CE-951A-416CAA250C40}" name="Estudiantes5" displayName="Estudiantes5" ref="A12:J27" totalsRowShown="0" headerRowDxfId="203" dataDxfId="202">
  <tableColumns count="10">
    <tableColumn id="1" xr3:uid="{98D3ED4E-A12D-4944-8440-1C2C933F8800}" name="Primer Apellido" dataDxfId="201"/>
    <tableColumn id="2" xr3:uid="{223355DF-AC4B-4248-9109-9F3BF40AAEEF}" name="Segundo Apellido" dataDxfId="200"/>
    <tableColumn id="3" xr3:uid="{95E43E6F-047E-4A8F-9160-6AAC9091B052}" name="Nombre" dataDxfId="199"/>
    <tableColumn id="4" xr3:uid="{E337438B-AC10-48F2-BB68-94E55239DE17}" name="Cédula" dataDxfId="198"/>
    <tableColumn id="7" xr3:uid="{E3C98324-F6D6-4C19-B291-1FD628EF431D}" name="Columna1" dataDxfId="197"/>
    <tableColumn id="5" xr3:uid="{812F3D3E-68B6-4968-8545-03625FD3E7E1}" name="Evaluación IP" dataDxfId="196"/>
    <tableColumn id="6" xr3:uid="{56A47D94-C922-4E68-BA39-DC65AB8B5B52}" name="Evaluación IIP" dataDxfId="195"/>
    <tableColumn id="8" xr3:uid="{5F12566D-3E81-4033-AD12-A889C2DA5906}" name="Columna2" dataDxfId="194"/>
    <tableColumn id="9" xr3:uid="{58428738-D6E7-415B-8948-920D9F74B61F}" name="Evaluación 1" dataDxfId="193"/>
    <tableColumn id="10" xr3:uid="{E1E66B12-0C51-442F-8332-7856504EA430}" name="Evaluación 2" dataDxfId="192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AEED858-D8AA-4510-A9C3-2B76AFE106B7}" name="Estudiantes6" displayName="Estudiantes6" ref="A14:F29" totalsRowShown="0" headerRowDxfId="191" dataDxfId="190">
  <tableColumns count="6">
    <tableColumn id="1" xr3:uid="{B7CFF1F6-9D4A-45FC-B857-3653D4FA7C76}" name="Primer Apellido" dataDxfId="189"/>
    <tableColumn id="2" xr3:uid="{AAB674DA-5D34-42C2-A699-8EBCD8BA3352}" name="Segundo Apellido" dataDxfId="188"/>
    <tableColumn id="3" xr3:uid="{6A8D09DF-5619-4D63-9EC0-ECD4EE4A55C5}" name="Nombre" dataDxfId="187"/>
    <tableColumn id="4" xr3:uid="{67231155-4761-43DB-8086-D97526C309AD}" name="Cédula" dataDxfId="186"/>
    <tableColumn id="5" xr3:uid="{F1B7B0CC-979E-4BDE-A708-8550405CF1D5}" name="Proyecto IP" dataDxfId="185"/>
    <tableColumn id="6" xr3:uid="{DBD55A61-64F0-443D-8B31-979397122110}" name="Proyecto IIP" dataDxfId="184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EEBAD88-F3BE-42EC-9730-0ECA5A0FFE7D}" name="Estudiantes68" displayName="Estudiantes68" ref="A10:F25" totalsRowShown="0" headerRowDxfId="183" dataDxfId="182">
  <tableColumns count="6">
    <tableColumn id="1" xr3:uid="{689275B9-6F08-47C7-87CF-0E0B8CE38E50}" name="Primer Apellido" dataDxfId="181"/>
    <tableColumn id="2" xr3:uid="{2CBBEA04-4C66-426A-9263-3EDA2B0776B6}" name="Segundo Apellido" dataDxfId="180"/>
    <tableColumn id="3" xr3:uid="{CA81CD74-9AB3-4886-8AE9-3A060781EF13}" name="Nombre" dataDxfId="179"/>
    <tableColumn id="4" xr3:uid="{42C5656E-22A5-463F-A193-29CF40FC28FA}" name="Cédula" dataDxfId="178"/>
    <tableColumn id="5" xr3:uid="{D6CFA5DA-0FDD-413D-8021-A9390496352A}" name="Portafolio IP" dataDxfId="177"/>
    <tableColumn id="6" xr3:uid="{7F30113D-758E-4C0F-9482-9290D88C5473}" name="Portafolio IIP" dataDxfId="17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D35A0D3-0593-4C55-8DBE-91D6EBBE8C53}" name="Estudiantes310" displayName="Estudiantes310" ref="A12:FN27" totalsRowShown="0" headerRowDxfId="171" dataDxfId="170">
  <sortState xmlns:xlrd2="http://schemas.microsoft.com/office/spreadsheetml/2017/richdata2" ref="A12:D13">
    <sortCondition descending="1" ref="C12"/>
  </sortState>
  <tableColumns count="170">
    <tableColumn id="1" xr3:uid="{28F3023B-D271-4FBC-A3B8-AE84745A17FB}" name="Primer Apellido" dataDxfId="169"/>
    <tableColumn id="2" xr3:uid="{781CEDF8-975A-4D10-A6D1-98A24B695963}" name="Segundo Apellido" dataDxfId="168"/>
    <tableColumn id="3" xr3:uid="{920BA931-2DF3-489B-8C88-A6EB75031719}" name="Nombre" dataDxfId="167"/>
    <tableColumn id="4" xr3:uid="{63D9D713-49AF-4B3D-9C5C-80508908F74F}" name="Cédula" dataDxfId="166"/>
    <tableColumn id="5" xr3:uid="{6B60E95B-4819-41D8-89A4-42051E0DB566}" name="Columna1" dataDxfId="165">
      <calculatedColumnFormula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calculatedColumnFormula>
    </tableColumn>
    <tableColumn id="6" xr3:uid="{4912DE13-FB41-462E-B1D6-68E37443F22F}" name="Columna2" dataDxfId="164">
      <calculatedColumnFormula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calculatedColumnFormula>
    </tableColumn>
    <tableColumn id="7" xr3:uid="{0A0784E0-A0A7-4801-820D-D6FE4236F387}" name="Columna3" dataDxfId="163">
      <calculatedColumnFormula>SUM(K13,S13,AA13,AI13,AQ13,AY13,BG13,BO13,BW13,CE13,CM13,CU13,DC13,DK13,DS13,EA13,EI13,EQ13,EY13,FG13,)</calculatedColumnFormula>
    </tableColumn>
    <tableColumn id="8" xr3:uid="{D74BC0BF-3952-4EEE-B2DE-D5A73CE5CC94}" name="0" dataDxfId="162">
      <calculatedColumnFormula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calculatedColumnFormula>
    </tableColumn>
    <tableColumn id="9" xr3:uid="{BCF89900-A9B2-44CD-8262-05365D4E8F1F}" name="1" dataDxfId="161"/>
    <tableColumn id="10" xr3:uid="{2707415A-0648-47E0-9398-6CBE425E8C50}" name="2" dataDxfId="160"/>
    <tableColumn id="11" xr3:uid="{C23C73D1-25F6-4466-9962-F721417E6D73}" name="3" dataDxfId="159"/>
    <tableColumn id="12" xr3:uid="{C6A13E0B-6F4B-4E7A-923E-CE8FA0B5D398}" name="Columna4" dataDxfId="158"/>
    <tableColumn id="16" xr3:uid="{43511E27-B229-4D33-9A8A-A7858E58C5D7}" name="23-ene" dataDxfId="157"/>
    <tableColumn id="17" xr3:uid="{90649E84-6B26-494D-8373-83B142BC5FE4}" name="Columna10" dataDxfId="156"/>
    <tableColumn id="18" xr3:uid="{192746DD-1211-46EB-AC1B-E273C6D802B9}" name="Columna11" dataDxfId="155">
      <calculatedColumnFormula>IF(ISBLANK(Estudiantes310[[#This Row],[Columna10]]),Estudiantes310[[#This Row],[AJ]],Estudiantes310[[#This Row],[Columna10]])</calculatedColumnFormula>
    </tableColumn>
    <tableColumn id="19" xr3:uid="{8BAADC5C-41BE-458E-8F2C-E62E5C0AFAD7}" name="AJ" dataDxfId="154"/>
    <tableColumn id="20" xr3:uid="{3D295C85-BD17-4019-80AF-51BE2DFE0DFB}" name="Columna12" dataDxfId="153"/>
    <tableColumn id="21" xr3:uid="{D77ECC10-2773-479A-966A-BBB5C99BF3E3}" name="Columna13" dataDxfId="152"/>
    <tableColumn id="22" xr3:uid="{3A203CA1-7B1C-4667-8778-BD40E60B3E3A}" name="Columna14" dataDxfId="151"/>
    <tableColumn id="23" xr3:uid="{7DED7F6A-2319-4893-8E39-D66413446858}" name="Columna15" dataDxfId="150"/>
    <tableColumn id="24" xr3:uid="{FFB3966A-5898-49D3-A081-B6E8B0D8330F}" name="Columna16" dataDxfId="149"/>
    <tableColumn id="25" xr3:uid="{95E6A53A-8EF2-4346-9E13-EED7D67ADA68}" name="Columna17" dataDxfId="148"/>
    <tableColumn id="26" xr3:uid="{FBBC5D4E-5E50-4472-917A-5C4564B4C468}" name="Columna18" dataDxfId="147">
      <calculatedColumnFormula>IF(ISBLANK(Estudiantes310[[#This Row],[Columna17]]),Estudiantes310[[#This Row],[Columna19]],Estudiantes310[[#This Row],[Columna17]])</calculatedColumnFormula>
    </tableColumn>
    <tableColumn id="27" xr3:uid="{B9F2213F-9FB0-4810-B2DD-3CACEABC2C4C}" name="Columna19" dataDxfId="146"/>
    <tableColumn id="28" xr3:uid="{DBADD89C-49B7-4D0F-ADE7-DA0CFDB12832}" name="Columna20" dataDxfId="145"/>
    <tableColumn id="29" xr3:uid="{AC0BF646-36A5-4B24-835E-9C47E54A5743}" name="Columna21" dataDxfId="144"/>
    <tableColumn id="30" xr3:uid="{FB75E1E4-42EE-42D5-A536-F02DA353C6CA}" name="Columna22" dataDxfId="143"/>
    <tableColumn id="31" xr3:uid="{BD67FD21-11ED-4477-B658-CC30C9D111A9}" name="Columna23" dataDxfId="142"/>
    <tableColumn id="32" xr3:uid="{903A7C34-9677-4935-B94F-98D6D1D30ED1}" name="Columna24" dataDxfId="141"/>
    <tableColumn id="33" xr3:uid="{44E3F7BE-C255-43F8-878E-77F664B13B3A}" name="Columna25" dataDxfId="140"/>
    <tableColumn id="34" xr3:uid="{29A476FA-4195-4C29-844E-5273309A1595}" name="Columna26" dataDxfId="139">
      <calculatedColumnFormula>IF(ISBLANK(Estudiantes310[[#This Row],[Columna25]]),Estudiantes310[[#This Row],[Columna27]],Estudiantes310[[#This Row],[Columna25]])</calculatedColumnFormula>
    </tableColumn>
    <tableColumn id="35" xr3:uid="{5FE47A1F-DF03-46D7-869A-4AA8C37A0EEB}" name="Columna27" dataDxfId="138"/>
    <tableColumn id="36" xr3:uid="{02FA4546-CF6E-4335-AB4B-9F2DB0765490}" name="Columna28" dataDxfId="137"/>
    <tableColumn id="37" xr3:uid="{846788EA-8206-44C7-8258-E8F2B906D863}" name="Columna29" dataDxfId="136"/>
    <tableColumn id="38" xr3:uid="{F3158178-4A3D-4B72-9881-388D98D3E0B6}" name="Columna30" dataDxfId="135"/>
    <tableColumn id="39" xr3:uid="{9EB22E19-A748-4E5C-B9B6-EA94EF765C94}" name="Columna31" dataDxfId="134"/>
    <tableColumn id="40" xr3:uid="{33C06BF3-38DE-4D4B-8D58-B39AEBAA011D}" name="Columna32" dataDxfId="133"/>
    <tableColumn id="41" xr3:uid="{BABF45EF-57F9-45E6-AE78-9A487F2EFEAA}" name="Columna33" dataDxfId="132"/>
    <tableColumn id="42" xr3:uid="{B9A60A14-7BE3-44A6-8C8D-8A305AD3A868}" name="Columna34" dataDxfId="131">
      <calculatedColumnFormula>IF(ISBLANK(Estudiantes310[[#This Row],[Columna33]]),Estudiantes310[[#This Row],[Columna35]],Estudiantes310[[#This Row],[Columna33]])</calculatedColumnFormula>
    </tableColumn>
    <tableColumn id="43" xr3:uid="{9FD83E23-DE62-420C-AE7E-4F4E382FD2DA}" name="Columna35" dataDxfId="130"/>
    <tableColumn id="44" xr3:uid="{B404A9C6-3FDD-43AB-B822-9BAEAB13E23D}" name="Columna36" dataDxfId="129"/>
    <tableColumn id="45" xr3:uid="{84B82973-163E-4584-B4C4-EFF2B06B58BC}" name="Columna37" dataDxfId="128"/>
    <tableColumn id="46" xr3:uid="{908AAEAF-0E96-48A8-BD4F-F33566EA626C}" name="Columna38" dataDxfId="127"/>
    <tableColumn id="47" xr3:uid="{C054AB7E-0B60-4A6D-B748-19B70F41E66C}" name="Columna39" dataDxfId="126"/>
    <tableColumn id="48" xr3:uid="{1B306486-7515-4743-AF74-C25CFFECDB9B}" name="Columna40" dataDxfId="125"/>
    <tableColumn id="49" xr3:uid="{BD441BC2-468B-48BD-936F-68083787C0AC}" name="Columna41" dataDxfId="124"/>
    <tableColumn id="50" xr3:uid="{4D2153E7-974D-462B-94BE-AC21856F9702}" name="Columna42" dataDxfId="123">
      <calculatedColumnFormula>IF(ISBLANK(Estudiantes310[[#This Row],[Columna41]]),Estudiantes310[[#This Row],[Columna43]],Estudiantes310[[#This Row],[Columna41]])</calculatedColumnFormula>
    </tableColumn>
    <tableColumn id="51" xr3:uid="{E3515F4F-F703-4A6E-A7C9-7D935AF2CFD4}" name="Columna43" dataDxfId="122"/>
    <tableColumn id="52" xr3:uid="{836F26F6-EADF-491D-BD41-BC4FF3795D68}" name="Columna44" dataDxfId="121"/>
    <tableColumn id="53" xr3:uid="{4ECC095B-8A1E-4350-B469-822B3108C9E2}" name="Columna45" dataDxfId="120"/>
    <tableColumn id="54" xr3:uid="{4C16E076-4BB9-4177-888D-17C00122611A}" name="Columna46" dataDxfId="119"/>
    <tableColumn id="55" xr3:uid="{D35AC3D0-24D7-4A14-A1D6-D202552E5B5D}" name="Columna47" dataDxfId="118"/>
    <tableColumn id="56" xr3:uid="{92047E34-A165-4DF4-A311-7D6A518A3D7B}" name="Columna48" dataDxfId="117"/>
    <tableColumn id="57" xr3:uid="{6DB33DDE-029C-4688-877B-041F1EDC9404}" name="Columna49" dataDxfId="116"/>
    <tableColumn id="58" xr3:uid="{E42A6C2A-4168-4D01-8A55-E0B638199E9A}" name="Columna50" dataDxfId="115">
      <calculatedColumnFormula>IF(ISBLANK(Estudiantes310[[#This Row],[Columna49]]),Estudiantes310[[#This Row],[Columna51]],Estudiantes310[[#This Row],[Columna49]])</calculatedColumnFormula>
    </tableColumn>
    <tableColumn id="59" xr3:uid="{CC06FC9F-E41D-4818-BA3F-272B2E57FA6E}" name="Columna51" dataDxfId="114"/>
    <tableColumn id="60" xr3:uid="{6E265AD2-E03B-44E7-B623-BA361094A36F}" name="Columna52" dataDxfId="113"/>
    <tableColumn id="61" xr3:uid="{8EC62F76-59E0-44C2-B7BC-F0566AFAC95F}" name="Columna53" dataDxfId="112"/>
    <tableColumn id="62" xr3:uid="{0794C9DE-1B77-4E74-AA65-1F61BA793F75}" name="Columna54" dataDxfId="111"/>
    <tableColumn id="63" xr3:uid="{4038DC73-499B-4CA4-82F0-C2BBAC2318E0}" name="Columna55" dataDxfId="110"/>
    <tableColumn id="64" xr3:uid="{EBB17391-E359-47E6-96DD-9B420BE42DFB}" name="Columna56" dataDxfId="109"/>
    <tableColumn id="65" xr3:uid="{E3CB898A-89CF-4A8E-8E33-B83D894EA082}" name="Columna57" dataDxfId="108"/>
    <tableColumn id="66" xr3:uid="{85316523-A827-4E46-B34D-1008DDFEDD15}" name="Columna58" dataDxfId="107">
      <calculatedColumnFormula>IF(ISBLANK(Estudiantes310[[#This Row],[Columna57]]),Estudiantes310[[#This Row],[Columna59]],Estudiantes310[[#This Row],[Columna57]])</calculatedColumnFormula>
    </tableColumn>
    <tableColumn id="67" xr3:uid="{3B2911D4-08BF-4151-B2B5-9096779D9888}" name="Columna59" dataDxfId="106"/>
    <tableColumn id="68" xr3:uid="{65F03F3A-1A31-42F0-85BF-28CD6404DDBD}" name="Columna60" dataDxfId="105"/>
    <tableColumn id="69" xr3:uid="{BED72BF2-3CA2-4818-9FEC-2DD332417B24}" name="Columna61" dataDxfId="104"/>
    <tableColumn id="70" xr3:uid="{344F4A93-610A-4FDF-BB3F-B2B4D0796EBD}" name="Columna62" dataDxfId="103"/>
    <tableColumn id="71" xr3:uid="{310DF58D-53CE-4E3D-AEB5-79CC380AFC26}" name="Columna63" dataDxfId="102"/>
    <tableColumn id="72" xr3:uid="{658C95EC-163E-4841-86AE-A41FFB2C4AF1}" name="Columna64" dataDxfId="101"/>
    <tableColumn id="73" xr3:uid="{3123FA4C-EF28-4B55-8950-98C4450632B1}" name="Columna65" dataDxfId="100"/>
    <tableColumn id="74" xr3:uid="{EECC3C84-CB8C-447E-8C02-516EC307A1E7}" name="Columna66" dataDxfId="99">
      <calculatedColumnFormula>IF(ISBLANK(Estudiantes310[[#This Row],[Columna65]]),Estudiantes310[[#This Row],[Columna67]],Estudiantes310[[#This Row],[Columna65]])</calculatedColumnFormula>
    </tableColumn>
    <tableColumn id="75" xr3:uid="{CC9D5345-6DAA-415F-B37E-4DF50DBA6DC1}" name="Columna67" dataDxfId="98"/>
    <tableColumn id="76" xr3:uid="{6A757137-5F9A-483C-9732-17DFCA6FA9A9}" name="Columna68" dataDxfId="97"/>
    <tableColumn id="77" xr3:uid="{A29A2588-DE0A-4D51-81C1-1E0EB406AA75}" name="Columna69" dataDxfId="96"/>
    <tableColumn id="78" xr3:uid="{C10FE208-A183-415B-B1ED-BF5F9EDCBB53}" name="Columna70" dataDxfId="95"/>
    <tableColumn id="79" xr3:uid="{AA75A058-60B0-4F71-9390-4E19ABEC340D}" name="Columna71" dataDxfId="94"/>
    <tableColumn id="80" xr3:uid="{33DCDA7A-7F10-48BC-BA20-46317B0002D6}" name="Columna72" dataDxfId="93"/>
    <tableColumn id="81" xr3:uid="{19019586-4753-4AEE-BFEB-60AADCAAD138}" name="Columna73" dataDxfId="92"/>
    <tableColumn id="82" xr3:uid="{34C3F441-AEA8-4059-BEAA-EF8E5F3D3DC4}" name="Columna74" dataDxfId="91">
      <calculatedColumnFormula>IF(ISBLANK(Estudiantes310[[#This Row],[Columna73]]),Estudiantes310[[#This Row],[Columna75]],Estudiantes310[[#This Row],[Columna73]])</calculatedColumnFormula>
    </tableColumn>
    <tableColumn id="83" xr3:uid="{C8363E13-5154-4BD6-8F65-4EEB10DE373A}" name="Columna75" dataDxfId="90"/>
    <tableColumn id="84" xr3:uid="{E6F0D434-B7D3-43C7-A913-4D7A76090570}" name="Columna76" dataDxfId="89"/>
    <tableColumn id="85" xr3:uid="{BC927D59-3166-4F9F-867B-68BFB04D1388}" name="Columna77" dataDxfId="88"/>
    <tableColumn id="86" xr3:uid="{F7C140AB-6262-4DEE-9BE0-F1E261F86F21}" name="Columna78" dataDxfId="87"/>
    <tableColumn id="87" xr3:uid="{932EE466-0B32-41C4-9DBD-3B6D09CFAB45}" name="Columna79" dataDxfId="86"/>
    <tableColumn id="88" xr3:uid="{E54BF124-FE5F-4D63-9DA5-A5D983D2E242}" name="Columna80" dataDxfId="85"/>
    <tableColumn id="89" xr3:uid="{D3F9C08C-E4B9-463A-B212-D8B71330B36E}" name="Columna81" dataDxfId="84"/>
    <tableColumn id="90" xr3:uid="{60557F6E-AE61-4042-AA34-46414B76DB4F}" name="Columna82" dataDxfId="83">
      <calculatedColumnFormula>IF(ISBLANK(Estudiantes310[[#This Row],[Columna81]]),Estudiantes310[[#This Row],[Columna83]],Estudiantes310[[#This Row],[Columna81]])</calculatedColumnFormula>
    </tableColumn>
    <tableColumn id="91" xr3:uid="{BAD12E33-5444-4650-993E-C6FA9D6DE3FF}" name="Columna83" dataDxfId="82"/>
    <tableColumn id="92" xr3:uid="{11C47C31-4BB2-42D8-ACD0-FE1B1780D764}" name="Columna84" dataDxfId="81"/>
    <tableColumn id="93" xr3:uid="{2F089483-1F81-4E92-A32E-D47DD6833EDF}" name="Columna85" dataDxfId="80"/>
    <tableColumn id="94" xr3:uid="{A6D2F4B2-DF1F-4207-89E9-BEC0DDE9FEFA}" name="Columna86" dataDxfId="79"/>
    <tableColumn id="95" xr3:uid="{A8BB145E-3048-4710-BB07-CDDFB72A3959}" name="Columna87" dataDxfId="78"/>
    <tableColumn id="96" xr3:uid="{08CA4471-5696-4D87-9BAA-E7A88FA52E1C}" name="Columna88" dataDxfId="77"/>
    <tableColumn id="97" xr3:uid="{7FC79FFF-DB27-4FF9-8AD9-4C516B108FA4}" name="Columna89" dataDxfId="76"/>
    <tableColumn id="98" xr3:uid="{77ACE8B9-AB2A-4FCF-B720-1C409B5BAE14}" name="Columna90" dataDxfId="75">
      <calculatedColumnFormula>IF(ISBLANK(Estudiantes310[[#This Row],[Columna89]]),Estudiantes310[[#This Row],[Columna91]],Estudiantes310[[#This Row],[Columna89]])</calculatedColumnFormula>
    </tableColumn>
    <tableColumn id="99" xr3:uid="{7443BD3C-51AE-4E2D-85A9-603360208074}" name="Columna91" dataDxfId="74"/>
    <tableColumn id="100" xr3:uid="{C715A647-13F7-4E8F-8DB5-52B677B43ACB}" name="Columna92" dataDxfId="73"/>
    <tableColumn id="101" xr3:uid="{4137FA0A-2DA5-43FA-90EF-ADD0DEA3C75C}" name="Columna93" dataDxfId="72"/>
    <tableColumn id="102" xr3:uid="{50B88180-67D5-4C60-9AA2-98A5AED47418}" name="Columna94" dataDxfId="71"/>
    <tableColumn id="103" xr3:uid="{D2E9FE04-441C-4ED0-B236-78558564FE12}" name="Columna95" dataDxfId="70"/>
    <tableColumn id="104" xr3:uid="{5A048BF5-B8D2-4F0E-A520-06DCF8B9D4FC}" name="Columna96" dataDxfId="69"/>
    <tableColumn id="105" xr3:uid="{A5836D87-48AD-453D-BBE9-8D533B58EFE5}" name="Columna97" dataDxfId="68"/>
    <tableColumn id="106" xr3:uid="{FEDDAB8E-4E44-45E0-A75C-6CF663602B3B}" name="Columna98" dataDxfId="67">
      <calculatedColumnFormula>IF(ISBLANK(Estudiantes310[[#This Row],[Columna97]]),Estudiantes310[[#This Row],[Columna99]],Estudiantes310[[#This Row],[Columna97]])</calculatedColumnFormula>
    </tableColumn>
    <tableColumn id="107" xr3:uid="{BE3C3DDA-872B-470C-8D7F-8ED64D7CCD1C}" name="Columna99" dataDxfId="66"/>
    <tableColumn id="108" xr3:uid="{7592D455-CED7-4E76-BF69-F08514587CE9}" name="Columna100" dataDxfId="65"/>
    <tableColumn id="109" xr3:uid="{D4936501-D0F7-42E5-9061-5B35C47EEADF}" name="Columna101" dataDxfId="64"/>
    <tableColumn id="110" xr3:uid="{A06E21CC-716E-41EE-8225-A672A267795E}" name="Columna102" dataDxfId="63"/>
    <tableColumn id="111" xr3:uid="{56D91657-32C3-4D19-B341-F0A8561AB298}" name="Columna103" dataDxfId="62"/>
    <tableColumn id="112" xr3:uid="{9688BA7C-DF5E-4B7D-A5D2-98CEBF26ECF2}" name="Columna104" dataDxfId="61"/>
    <tableColumn id="113" xr3:uid="{0D5FBE63-08C5-461B-9AC5-AE2324A7EDCF}" name="Columna105" dataDxfId="60"/>
    <tableColumn id="114" xr3:uid="{327D02AE-92C7-40E3-81C4-E0D28B112954}" name="Columna106" dataDxfId="59">
      <calculatedColumnFormula>IF(ISBLANK(Estudiantes310[[#This Row],[Columna105]]),Estudiantes310[[#This Row],[Columna107]],Estudiantes310[[#This Row],[Columna105]])</calculatedColumnFormula>
    </tableColumn>
    <tableColumn id="115" xr3:uid="{53755EF6-E55E-47E6-A882-5A5FA022C36F}" name="Columna107" dataDxfId="58"/>
    <tableColumn id="116" xr3:uid="{248C4937-A49A-4885-9AF7-A05A2DC45F09}" name="Columna108" dataDxfId="57"/>
    <tableColumn id="117" xr3:uid="{D2612C15-6921-4B77-813C-CBF7D53E37C0}" name="Columna109" dataDxfId="56"/>
    <tableColumn id="118" xr3:uid="{365CBBB1-F4A6-4B74-993B-C62827E43566}" name="Columna110" dataDxfId="55"/>
    <tableColumn id="119" xr3:uid="{60309B31-EBAB-4F8A-ABFA-F2D07129FDB5}" name="Columna111" dataDxfId="54"/>
    <tableColumn id="120" xr3:uid="{3BB4104B-1958-46F5-86DC-331E14E7DE94}" name="Columna112" dataDxfId="53"/>
    <tableColumn id="121" xr3:uid="{87F735AD-F334-4D47-9D6F-9817FE4BBF23}" name="Columna113" dataDxfId="52"/>
    <tableColumn id="122" xr3:uid="{90662C90-B523-4620-B1F5-27DE7548DDBB}" name="Columna114" dataDxfId="51">
      <calculatedColumnFormula>IF(ISBLANK(Estudiantes310[[#This Row],[Columna113]]),Estudiantes310[[#This Row],[Columna115]],Estudiantes310[[#This Row],[Columna113]])</calculatedColumnFormula>
    </tableColumn>
    <tableColumn id="123" xr3:uid="{C0FFC733-6DE4-4E5E-9100-EFEEAE24D9A5}" name="Columna115" dataDxfId="50"/>
    <tableColumn id="124" xr3:uid="{40C33CF3-469D-4985-AC7B-D9FDBDC0B2B5}" name="Columna116" dataDxfId="49"/>
    <tableColumn id="125" xr3:uid="{F567E30D-084C-4B20-8AF1-60070B3236D0}" name="Columna117" dataDxfId="48"/>
    <tableColumn id="126" xr3:uid="{03D7807B-E576-410C-84CA-20D0A13C0EEF}" name="Columna118" dataDxfId="47"/>
    <tableColumn id="127" xr3:uid="{444D139A-2E7D-4047-A8B0-A5EEA13C6CB3}" name="Columna119" dataDxfId="46"/>
    <tableColumn id="128" xr3:uid="{F23EDF2F-3AFE-46BE-8811-48803571F755}" name="Columna120" dataDxfId="45"/>
    <tableColumn id="129" xr3:uid="{ADEEC540-56D6-4AB3-9F5B-F89054D60490}" name="Columna121" dataDxfId="44"/>
    <tableColumn id="130" xr3:uid="{F3B15B30-B195-4033-9CDC-9EEDDFFC761C}" name="Columna122" dataDxfId="43">
      <calculatedColumnFormula>IF(ISBLANK(Estudiantes310[[#This Row],[Columna121]]),Estudiantes310[[#This Row],[Columna123]],Estudiantes310[[#This Row],[Columna121]])</calculatedColumnFormula>
    </tableColumn>
    <tableColumn id="131" xr3:uid="{2FD0FCB3-764E-4A83-BE78-E623FA8EBE4C}" name="Columna123" dataDxfId="42"/>
    <tableColumn id="132" xr3:uid="{1FBA605E-47B9-45D4-B479-DC8649C88739}" name="Columna124" dataDxfId="41"/>
    <tableColumn id="133" xr3:uid="{D5942B90-81F9-4A9C-8796-1D32CA71A0F2}" name="Columna125" dataDxfId="40"/>
    <tableColumn id="134" xr3:uid="{F906C9B4-612D-45A1-8B46-17608F47AF07}" name="Columna126" dataDxfId="39"/>
    <tableColumn id="135" xr3:uid="{AFD6A689-E582-4705-97ED-D55EB0C99232}" name="Columna127" dataDxfId="38"/>
    <tableColumn id="136" xr3:uid="{7C00E5B5-359B-43BA-9CAB-855E21FAFE4C}" name="Columna128" dataDxfId="37"/>
    <tableColumn id="137" xr3:uid="{5F0BB366-7745-4BB2-8460-62ADF306970F}" name="Columna129" dataDxfId="36"/>
    <tableColumn id="138" xr3:uid="{4F4DCBC3-D67F-49AE-9A9D-E4062F0BFB2A}" name="Columna130" dataDxfId="35">
      <calculatedColumnFormula>IF(ISBLANK(Estudiantes310[[#This Row],[Columna129]]),Estudiantes310[[#This Row],[Columna131]],Estudiantes310[[#This Row],[Columna129]])</calculatedColumnFormula>
    </tableColumn>
    <tableColumn id="139" xr3:uid="{FC4DBD8C-1E8E-4DC7-8225-566D171F1F64}" name="Columna131" dataDxfId="34"/>
    <tableColumn id="140" xr3:uid="{00B1F3B5-46F4-49D8-B8D8-0F8D4EA0EC7B}" name="Columna132" dataDxfId="33"/>
    <tableColumn id="141" xr3:uid="{B39968D8-EA1B-4AF5-8682-62B10667811B}" name="Columna133" dataDxfId="32"/>
    <tableColumn id="142" xr3:uid="{BC7BECF7-311C-4022-B180-26CE218020FD}" name="Columna134" dataDxfId="31"/>
    <tableColumn id="143" xr3:uid="{F874DE32-5DB8-42B1-AAA7-BCEAD8E75D02}" name="Columna135" dataDxfId="30"/>
    <tableColumn id="144" xr3:uid="{1666C9DA-5816-44A5-946C-B9E1C781F363}" name="Columna136" dataDxfId="29"/>
    <tableColumn id="145" xr3:uid="{126FA658-07C3-47E6-83CE-D2A4FF674488}" name="Columna137" dataDxfId="28"/>
    <tableColumn id="146" xr3:uid="{370C3C5D-AD94-49AF-B3B1-2E9D75A0000D}" name="Columna138" dataDxfId="27">
      <calculatedColumnFormula>IF(ISBLANK(Estudiantes310[[#This Row],[Columna137]]),Estudiantes310[[#This Row],[Columna139]],Estudiantes310[[#This Row],[Columna137]])</calculatedColumnFormula>
    </tableColumn>
    <tableColumn id="147" xr3:uid="{8B90CAFD-A4C1-404F-BF0E-19662058AB9A}" name="Columna139" dataDxfId="26"/>
    <tableColumn id="148" xr3:uid="{64270607-CE43-4070-9AF3-CE055766EF9D}" name="Columna140" dataDxfId="25"/>
    <tableColumn id="149" xr3:uid="{1D88996D-17DA-4F42-A432-4EC38505B60E}" name="Columna141" dataDxfId="24"/>
    <tableColumn id="150" xr3:uid="{241C76FA-8B01-48F1-AC22-6E610CF0DB94}" name="Columna142" dataDxfId="23"/>
    <tableColumn id="151" xr3:uid="{BE28DB65-4C5B-4278-97C1-C16702BF5D69}" name="Columna143" dataDxfId="22"/>
    <tableColumn id="152" xr3:uid="{91E2CB6B-DC6A-495F-AE60-4F0D1B70A2FE}" name="Columna144" dataDxfId="21"/>
    <tableColumn id="153" xr3:uid="{CA476DDB-598F-421B-9A8B-3511CECE3192}" name="Columna145" dataDxfId="20"/>
    <tableColumn id="154" xr3:uid="{7198C08B-B2A9-4E70-8983-805463FF29D6}" name="Columna146" dataDxfId="19">
      <calculatedColumnFormula>IF(ISBLANK(Estudiantes310[[#This Row],[Columna145]]),Estudiantes310[[#This Row],[Columna147]],Estudiantes310[[#This Row],[Columna145]])</calculatedColumnFormula>
    </tableColumn>
    <tableColumn id="155" xr3:uid="{A6D3E782-45E3-450E-8E03-B3DC66E02E1E}" name="Columna147" dataDxfId="18"/>
    <tableColumn id="156" xr3:uid="{6A39470B-B631-41EB-B0DB-8A10E268FB0F}" name="Columna148" dataDxfId="17"/>
    <tableColumn id="157" xr3:uid="{025E7FE6-4B2F-4EB7-A514-D37229AE8ACA}" name="Columna149" dataDxfId="16"/>
    <tableColumn id="158" xr3:uid="{EFFB4F0C-D558-4F81-AA33-CB0CC9B06261}" name="Columna150" dataDxfId="15"/>
    <tableColumn id="159" xr3:uid="{73902FA3-5671-4AEB-A572-5F2FA3630062}" name="Columna151" dataDxfId="14"/>
    <tableColumn id="160" xr3:uid="{2F91923B-E707-4DFA-9AD2-837E59BC44EF}" name="Columna152" dataDxfId="13"/>
    <tableColumn id="161" xr3:uid="{41D2172D-B41E-45A7-82F0-550CA859513D}" name="Columna153" dataDxfId="12"/>
    <tableColumn id="162" xr3:uid="{84917A19-C972-4906-B6C5-EEAAFA541216}" name="Columna154" dataDxfId="11">
      <calculatedColumnFormula>IF(ISBLANK(Estudiantes310[[#This Row],[Columna153]]),Estudiantes310[[#This Row],[Columna155]],Estudiantes310[[#This Row],[Columna153]])</calculatedColumnFormula>
    </tableColumn>
    <tableColumn id="163" xr3:uid="{72D252AF-6EC2-447D-A6C9-97594B91ADCC}" name="Columna155" dataDxfId="10"/>
    <tableColumn id="164" xr3:uid="{A57FF239-317F-41DE-8923-5464B98301B1}" name="Columna156" dataDxfId="9"/>
    <tableColumn id="165" xr3:uid="{F85632FA-38AA-41CE-9C49-024F1DAF16F1}" name="Columna157" dataDxfId="8"/>
    <tableColumn id="166" xr3:uid="{503E6875-51FE-43C3-8A86-10DC6E9D8C1E}" name="Columna158" dataDxfId="7"/>
    <tableColumn id="167" xr3:uid="{D9EB2890-5F4D-4C36-8F3B-BD5AD0D1402C}" name="Columna159" dataDxfId="6"/>
    <tableColumn id="168" xr3:uid="{F14E5F68-E4B2-4379-93B1-47A5EE41657D}" name="Columna160" dataDxfId="5"/>
    <tableColumn id="169" xr3:uid="{02250477-AEB9-4954-A53A-EC48E7BFA81C}" name="Columna161" dataDxfId="4"/>
    <tableColumn id="170" xr3:uid="{06D4FFC5-411D-46E1-809C-A60F92881B09}" name="Columna162" dataDxfId="3">
      <calculatedColumnFormula>IF(ISBLANK(Estudiantes310[[#This Row],[Columna161]]),Estudiantes310[[#This Row],[Columna163]],Estudiantes310[[#This Row],[Columna161]])</calculatedColumnFormula>
    </tableColumn>
    <tableColumn id="171" xr3:uid="{1653CBEB-5707-4BD2-8F98-765C806AE7F5}" name="Columna163" dataDxfId="2"/>
    <tableColumn id="15" xr3:uid="{4524BE03-DD61-48F9-A39C-9899CEA9AB74}" name="Columna164" dataDxfId="1">
      <calculatedColumnFormula>$I$6*IF(O13=1,0.25,IF(O13=2,0.5,IF(O13=3,1,0)))+$Q$6*IF(W13=1,0.25,IF(W13=2,0.5,IF(W13=3,1,0)))+$Y$6*IF(AE13=1,0.25,IF(AE13=2,0.5,IF(AE13=3,1,0)))+$AG$6*IF(AM13=1,0.25,IF(AM13=2,0.5,IF(AM13=3,1,0)))+$AO$6*IF(AU13=1,0.25,IF(AU13=2,0.5,IF(AU13=3,1,0)))+$AW$6*IF(BC13=1,0.25,IF(BC13=2,0.5,IF(BC13=3,1,0)))+$BE$6*IF(BK13=1,0.25,IF(BK13=2,0.5,IF(BK13=3,1,0)))+$BM$6*IF(BS13=1,0.25,IF(BS13=2,0.5,IF(BS13=3,1,0)))+$BU$6*IF(CA13=1,0.25,IF(CA13=2,0.5,IF(CA13=3,1,0)))+$CC$6*IF(CI13=1,0.25,IF(CI13=2,0.5,IF(CI13=3,1,0)))+$CK$6*IF(CQ13=1,0.25,IF(CQ13=2,0.5,IF(CQ13=3,1,0)))+$CS$6*IF(CY13=1,0.25,IF(CY13=2,0.5,IF(CY13=3,1,0)))+$DA$6*IF(DG13=1,0.25,IF(DG13=2,0.5,IF(DG13=3,1,0)))+$DI$6*IF(DO13=1,0.25,IF(DO13=2,0.5,IF(DO13=3,1,0)))+$DQ$6*IF(DW13=1,0.25,IF(DW13=2,0.5,IF(DW13=3,1,0)))+$DY$6*IF(EE13=1,0.25,IF(EE13=2,0.5,IF(EE13=3,1,0)))+$EG$6*IF(EM13=1,0.25,IF(EM13=2,0.5,IF(EM13=3,1,0)))+$EO$6*IF(EU13=1,0.25,IF(EU13=2,0.5,IF(EU13=3,1,0)))+$EW$6*IF(FC13=1,0.25,IF(FC13=2,0.5,IF(FC13=3,1,0)))+$FE$6*IF(FK13=1,0.25,IF(FK13=2,0.5,IF(FK13=3,1,0)))</calculatedColumnFormula>
    </tableColumn>
    <tableColumn id="172" xr3:uid="{51A7125B-B990-4D61-8A08-A5DC8251778D}" name="Columna165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ebextensions/_rels/webextension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webextensions/_rels/webextension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0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2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2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39.xml.rels><?xml version="1.0" encoding="UTF-8" standalone="yes"?>
<Relationships xmlns="http://schemas.openxmlformats.org/package/2006/relationships"><Relationship Id="rId1" Type="http://schemas.openxmlformats.org/officeDocument/2006/relationships/image" Target="../media/image3.png"/></Relationships>
</file>

<file path=xl/webextensions/_rels/webextension4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4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58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webextensions/_rels/webextension5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6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7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webextensions/_rels/webextension7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7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8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6.xml.rels><?xml version="1.0" encoding="UTF-8" standalone="yes"?>
<Relationships xmlns="http://schemas.openxmlformats.org/package/2006/relationships"><Relationship Id="rId1" Type="http://schemas.openxmlformats.org/officeDocument/2006/relationships/image" Target="../media/image5.png"/></Relationships>
</file>

<file path=xl/webextensions/_rels/webextension9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9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6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7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09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2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3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4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_rels/webextension115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webextensions/webextension1.xml><?xml version="1.0" encoding="utf-8"?>
<we:webextension xmlns:we="http://schemas.microsoft.com/office/webextensions/webextension/2010/11" id="{568632AF-ECA9-4A64-8674-3E3045C19796}">
  <we:reference id="wa102957665" version="1.3.0.0" store="es-ES" storeType="OMEX"/>
  <we:alternateReferences>
    <we:reference id="WA102957665" version="1.3.0.0" store="" storeType="OMEX"/>
  </we:alternateReferences>
  <we:properties>
    <we:property name="opt_month" value="&quot;2026-06-01&quot;"/>
  </we:properties>
  <we:bindings/>
  <we:snapshot xmlns:r="http://schemas.openxmlformats.org/officeDocument/2006/relationships" r:embed="rId1"/>
</we:webextension>
</file>

<file path=xl/webextensions/webextension2.xml><?xml version="1.0" encoding="utf-8"?>
<we:webextension xmlns:we="http://schemas.microsoft.com/office/webextensions/webextension/2010/11" id="{ACDCA0C3-3956-4028-959D-1A04E391514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.xml><?xml version="1.0" encoding="utf-8"?>
<we:webextension xmlns:we="http://schemas.microsoft.com/office/webextensions/webextension/2010/11" id="{115062DA-E7B3-497A-96CA-1CF5079CCB6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.xml><?xml version="1.0" encoding="utf-8"?>
<we:webextension xmlns:we="http://schemas.microsoft.com/office/webextensions/webextension/2010/11" id="{03063B61-8574-49DB-9061-DAA0654E1E8D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.xml><?xml version="1.0" encoding="utf-8"?>
<we:webextension xmlns:we="http://schemas.microsoft.com/office/webextensions/webextension/2010/11" id="{5324E926-2999-48EF-9EA9-01E766B9749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.xml><?xml version="1.0" encoding="utf-8"?>
<we:webextension xmlns:we="http://schemas.microsoft.com/office/webextensions/webextension/2010/11" id="{90810040-70A3-4A9B-8E75-77A200DDE15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.xml><?xml version="1.0" encoding="utf-8"?>
<we:webextension xmlns:we="http://schemas.microsoft.com/office/webextensions/webextension/2010/11" id="{7BEFC986-DA63-4A1B-949E-ABA216A95EBD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.xml><?xml version="1.0" encoding="utf-8"?>
<we:webextension xmlns:we="http://schemas.microsoft.com/office/webextensions/webextension/2010/11" id="{2681D623-C77B-4E53-AAB7-B2146F4CEE0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.xml><?xml version="1.0" encoding="utf-8"?>
<we:webextension xmlns:we="http://schemas.microsoft.com/office/webextensions/webextension/2010/11" id="{B70CEF17-DCAB-4AC3-86B2-0CF39C2DBCC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.xml><?xml version="1.0" encoding="utf-8"?>
<we:webextension xmlns:we="http://schemas.microsoft.com/office/webextensions/webextension/2010/11" id="{02E1A727-3E92-43D4-89EB-40B141C5A19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.xml><?xml version="1.0" encoding="utf-8"?>
<we:webextension xmlns:we="http://schemas.microsoft.com/office/webextensions/webextension/2010/11" id="{03A14F55-2352-49E0-952C-5C5CA7C35DD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2.xml><?xml version="1.0" encoding="utf-8"?>
<we:webextension xmlns:we="http://schemas.microsoft.com/office/webextensions/webextension/2010/11" id="{3BE39113-0C1B-491C-80BF-12F1CDD5C96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3.xml><?xml version="1.0" encoding="utf-8"?>
<we:webextension xmlns:we="http://schemas.microsoft.com/office/webextensions/webextension/2010/11" id="{9FFC0B5E-D925-4910-B01A-82E37F209B0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4.xml><?xml version="1.0" encoding="utf-8"?>
<we:webextension xmlns:we="http://schemas.microsoft.com/office/webextensions/webextension/2010/11" id="{95B47A72-B16B-42BE-B26C-B88DE8A68DF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5.xml><?xml version="1.0" encoding="utf-8"?>
<we:webextension xmlns:we="http://schemas.microsoft.com/office/webextensions/webextension/2010/11" id="{DF1F4EE2-A6C7-4414-8A4C-F55AF992AA2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6.xml><?xml version="1.0" encoding="utf-8"?>
<we:webextension xmlns:we="http://schemas.microsoft.com/office/webextensions/webextension/2010/11" id="{0ACA18D6-2391-4E34-BE2B-F933194D2E3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7.xml><?xml version="1.0" encoding="utf-8"?>
<we:webextension xmlns:we="http://schemas.microsoft.com/office/webextensions/webextension/2010/11" id="{684C8646-3857-4182-9511-445836BA968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8.xml><?xml version="1.0" encoding="utf-8"?>
<we:webextension xmlns:we="http://schemas.microsoft.com/office/webextensions/webextension/2010/11" id="{A5717749-4F2C-4D0C-A930-5447766AD91D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9.xml><?xml version="1.0" encoding="utf-8"?>
<we:webextension xmlns:we="http://schemas.microsoft.com/office/webextensions/webextension/2010/11" id="{267BC664-0C5B-4B92-B2AC-F5DC2DAD920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0.xml><?xml version="1.0" encoding="utf-8"?>
<we:webextension xmlns:we="http://schemas.microsoft.com/office/webextensions/webextension/2010/11" id="{F4BC27E6-3C28-40A2-AEEE-F4BB2CA052D9}">
  <we:reference id="wa102957665" version="1.3.0.0" store="es-ES" storeType="OMEX"/>
  <we:alternateReferences>
    <we:reference id="WA102957665" version="1.3.0.0" store="" storeType="OMEX"/>
  </we:alternateReferences>
  <we:properties>
    <we:property name="opt_month" value="&quot;2026-04-01&quot;"/>
  </we:properties>
  <we:bindings/>
  <we:snapshot xmlns:r="http://schemas.openxmlformats.org/officeDocument/2006/relationships" r:embed="rId1"/>
</we:webextension>
</file>

<file path=xl/webextensions/webextension21.xml><?xml version="1.0" encoding="utf-8"?>
<we:webextension xmlns:we="http://schemas.microsoft.com/office/webextensions/webextension/2010/11" id="{3DC4A639-367C-4FD2-8A99-5795162A885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2.xml><?xml version="1.0" encoding="utf-8"?>
<we:webextension xmlns:we="http://schemas.microsoft.com/office/webextensions/webextension/2010/11" id="{FB1736C5-4AA0-4D41-B1CD-84F8D5B84BD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3.xml><?xml version="1.0" encoding="utf-8"?>
<we:webextension xmlns:we="http://schemas.microsoft.com/office/webextensions/webextension/2010/11" id="{69609EEB-D256-4380-AF23-D11F8010295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4.xml><?xml version="1.0" encoding="utf-8"?>
<we:webextension xmlns:we="http://schemas.microsoft.com/office/webextensions/webextension/2010/11" id="{F5EA4C82-DD3D-4492-A1BF-A32C2CA79F6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5.xml><?xml version="1.0" encoding="utf-8"?>
<we:webextension xmlns:we="http://schemas.microsoft.com/office/webextensions/webextension/2010/11" id="{5D877570-D51D-4645-9A84-0BAEA29AE99F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6.xml><?xml version="1.0" encoding="utf-8"?>
<we:webextension xmlns:we="http://schemas.microsoft.com/office/webextensions/webextension/2010/11" id="{A42636AC-4448-4932-9616-7893C1B1EC9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7.xml><?xml version="1.0" encoding="utf-8"?>
<we:webextension xmlns:we="http://schemas.microsoft.com/office/webextensions/webextension/2010/11" id="{8B9BC2EA-856E-430B-8573-09B3EFB36CD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8.xml><?xml version="1.0" encoding="utf-8"?>
<we:webextension xmlns:we="http://schemas.microsoft.com/office/webextensions/webextension/2010/11" id="{2E02C388-CAAC-48C3-B47A-E524E4F2E5A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29.xml><?xml version="1.0" encoding="utf-8"?>
<we:webextension xmlns:we="http://schemas.microsoft.com/office/webextensions/webextension/2010/11" id="{B46EA0A2-2203-4AFC-BB5F-F6941CD3654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0.xml><?xml version="1.0" encoding="utf-8"?>
<we:webextension xmlns:we="http://schemas.microsoft.com/office/webextensions/webextension/2010/11" id="{6EE6C6C1-B860-4AE5-96BE-742D473258E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1.xml><?xml version="1.0" encoding="utf-8"?>
<we:webextension xmlns:we="http://schemas.microsoft.com/office/webextensions/webextension/2010/11" id="{495BB99A-F3F8-44FF-97AA-108066D3326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2.xml><?xml version="1.0" encoding="utf-8"?>
<we:webextension xmlns:we="http://schemas.microsoft.com/office/webextensions/webextension/2010/11" id="{14C333C6-5683-42DC-8F7A-76DD4FA16ADE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3.xml><?xml version="1.0" encoding="utf-8"?>
<we:webextension xmlns:we="http://schemas.microsoft.com/office/webextensions/webextension/2010/11" id="{98E56AB4-28D6-4B4B-8546-F444FC8B173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4.xml><?xml version="1.0" encoding="utf-8"?>
<we:webextension xmlns:we="http://schemas.microsoft.com/office/webextensions/webextension/2010/11" id="{0D9B28B5-4CCE-4CDC-866D-C74283098E83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5.xml><?xml version="1.0" encoding="utf-8"?>
<we:webextension xmlns:we="http://schemas.microsoft.com/office/webextensions/webextension/2010/11" id="{B68953FB-4F00-4DA5-A03C-D8F19B7EFFB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6.xml><?xml version="1.0" encoding="utf-8"?>
<we:webextension xmlns:we="http://schemas.microsoft.com/office/webextensions/webextension/2010/11" id="{07203A43-86A0-4BC0-B70F-C0CB4DAEC75F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7.xml><?xml version="1.0" encoding="utf-8"?>
<we:webextension xmlns:we="http://schemas.microsoft.com/office/webextensions/webextension/2010/11" id="{10C96BD1-CC73-4480-AE3A-4AB8E768C54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8.xml><?xml version="1.0" encoding="utf-8"?>
<we:webextension xmlns:we="http://schemas.microsoft.com/office/webextensions/webextension/2010/11" id="{E5929A6F-258B-42B7-A585-DA308F70630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39.xml><?xml version="1.0" encoding="utf-8"?>
<we:webextension xmlns:we="http://schemas.microsoft.com/office/webextensions/webextension/2010/11" id="{F88B6700-6A60-4FF4-96E5-896BBBADF4F3}">
  <we:reference id="wa102957665" version="1.3.0.0" store="es-ES" storeType="OMEX"/>
  <we:alternateReferences>
    <we:reference id="WA102957665" version="1.3.0.0" store="" storeType="OMEX"/>
  </we:alternateReferences>
  <we:properties>
    <we:property name="opt_month" value="&quot;2026-04-01&quot;"/>
  </we:properties>
  <we:bindings/>
  <we:snapshot xmlns:r="http://schemas.openxmlformats.org/officeDocument/2006/relationships" r:embed="rId1"/>
</we:webextension>
</file>

<file path=xl/webextensions/webextension40.xml><?xml version="1.0" encoding="utf-8"?>
<we:webextension xmlns:we="http://schemas.microsoft.com/office/webextensions/webextension/2010/11" id="{E0FE0B33-C5FD-4369-B630-C5D93528B2B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1.xml><?xml version="1.0" encoding="utf-8"?>
<we:webextension xmlns:we="http://schemas.microsoft.com/office/webextensions/webextension/2010/11" id="{E810936E-A047-4379-8953-4B7BBB75C603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2.xml><?xml version="1.0" encoding="utf-8"?>
<we:webextension xmlns:we="http://schemas.microsoft.com/office/webextensions/webextension/2010/11" id="{A4243696-A86E-4F20-9698-CA32BD035E6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3.xml><?xml version="1.0" encoding="utf-8"?>
<we:webextension xmlns:we="http://schemas.microsoft.com/office/webextensions/webextension/2010/11" id="{CFF5653F-941E-4139-A739-47DA1E5C17D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4.xml><?xml version="1.0" encoding="utf-8"?>
<we:webextension xmlns:we="http://schemas.microsoft.com/office/webextensions/webextension/2010/11" id="{C839378F-906E-4492-8A2C-5B1C8007AAE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5.xml><?xml version="1.0" encoding="utf-8"?>
<we:webextension xmlns:we="http://schemas.microsoft.com/office/webextensions/webextension/2010/11" id="{1B8E3DA4-AD5D-4199-84A3-8629832B6CE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6.xml><?xml version="1.0" encoding="utf-8"?>
<we:webextension xmlns:we="http://schemas.microsoft.com/office/webextensions/webextension/2010/11" id="{32AA9C6A-8F39-46DB-8F56-55D8C3569AE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7.xml><?xml version="1.0" encoding="utf-8"?>
<we:webextension xmlns:we="http://schemas.microsoft.com/office/webextensions/webextension/2010/11" id="{47D2629D-B114-4085-B3C6-CC0EF727855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8.xml><?xml version="1.0" encoding="utf-8"?>
<we:webextension xmlns:we="http://schemas.microsoft.com/office/webextensions/webextension/2010/11" id="{281FA2A2-DC5D-465F-8109-F402A8100E4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49.xml><?xml version="1.0" encoding="utf-8"?>
<we:webextension xmlns:we="http://schemas.microsoft.com/office/webextensions/webextension/2010/11" id="{70EDDA69-4036-42C4-A0C4-78F7463E67D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0.xml><?xml version="1.0" encoding="utf-8"?>
<we:webextension xmlns:we="http://schemas.microsoft.com/office/webextensions/webextension/2010/11" id="{034C1A41-F111-4C27-A5E0-A07C87DE304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1.xml><?xml version="1.0" encoding="utf-8"?>
<we:webextension xmlns:we="http://schemas.microsoft.com/office/webextensions/webextension/2010/11" id="{81D4ECCB-F50E-4CFE-BEEE-DBD5768C127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2.xml><?xml version="1.0" encoding="utf-8"?>
<we:webextension xmlns:we="http://schemas.microsoft.com/office/webextensions/webextension/2010/11" id="{F4CAFDDF-FA7D-4529-A70A-F8C8C7995F4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3.xml><?xml version="1.0" encoding="utf-8"?>
<we:webextension xmlns:we="http://schemas.microsoft.com/office/webextensions/webextension/2010/11" id="{37BDC29D-14C8-4ECC-818E-3ED5C4493EDD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4.xml><?xml version="1.0" encoding="utf-8"?>
<we:webextension xmlns:we="http://schemas.microsoft.com/office/webextensions/webextension/2010/11" id="{7037B086-D8A8-4447-8DC9-435F1F2217D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5.xml><?xml version="1.0" encoding="utf-8"?>
<we:webextension xmlns:we="http://schemas.microsoft.com/office/webextensions/webextension/2010/11" id="{8972F422-B8A5-4AC2-8C29-BC610324A7E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6.xml><?xml version="1.0" encoding="utf-8"?>
<we:webextension xmlns:we="http://schemas.microsoft.com/office/webextensions/webextension/2010/11" id="{EFCC9CC7-DDE4-421C-8EF5-283FCD765F93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7.xml><?xml version="1.0" encoding="utf-8"?>
<we:webextension xmlns:we="http://schemas.microsoft.com/office/webextensions/webextension/2010/11" id="{37AFE8CA-FC2D-4599-9483-29E17D22AEF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58.xml><?xml version="1.0" encoding="utf-8"?>
<we:webextension xmlns:we="http://schemas.microsoft.com/office/webextensions/webextension/2010/11" id="{ABC2CE3F-AF3F-4D03-ACD0-ACCE373D5E19}">
  <we:reference id="wa102957665" version="1.3.0.0" store="es-ES" storeType="OMEX"/>
  <we:alternateReferences>
    <we:reference id="WA102957665" version="1.3.0.0" store="" storeType="OMEX"/>
  </we:alternateReferences>
  <we:properties>
    <we:property name="opt_month" value="&quot;2026-04-01&quot;"/>
  </we:properties>
  <we:bindings/>
  <we:snapshot xmlns:r="http://schemas.openxmlformats.org/officeDocument/2006/relationships" r:embed="rId1"/>
</we:webextension>
</file>

<file path=xl/webextensions/webextension59.xml><?xml version="1.0" encoding="utf-8"?>
<we:webextension xmlns:we="http://schemas.microsoft.com/office/webextensions/webextension/2010/11" id="{CAD13C63-4219-4002-B144-E9DBA906881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0.xml><?xml version="1.0" encoding="utf-8"?>
<we:webextension xmlns:we="http://schemas.microsoft.com/office/webextensions/webextension/2010/11" id="{A89913D9-CFC5-409F-87D6-E8BA0151B5A3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1.xml><?xml version="1.0" encoding="utf-8"?>
<we:webextension xmlns:we="http://schemas.microsoft.com/office/webextensions/webextension/2010/11" id="{F0E90B45-251B-410F-922E-18E6F561323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2.xml><?xml version="1.0" encoding="utf-8"?>
<we:webextension xmlns:we="http://schemas.microsoft.com/office/webextensions/webextension/2010/11" id="{7A47C8A3-5354-4A05-968F-39F88964077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3.xml><?xml version="1.0" encoding="utf-8"?>
<we:webextension xmlns:we="http://schemas.microsoft.com/office/webextensions/webextension/2010/11" id="{3719291A-1648-41E5-83D0-C534BF8D4B0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4.xml><?xml version="1.0" encoding="utf-8"?>
<we:webextension xmlns:we="http://schemas.microsoft.com/office/webextensions/webextension/2010/11" id="{B1F6454B-A6A4-4048-8C25-BE642822202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5.xml><?xml version="1.0" encoding="utf-8"?>
<we:webextension xmlns:we="http://schemas.microsoft.com/office/webextensions/webextension/2010/11" id="{4E2E22E5-0843-4CFE-8A2C-44AE06248F4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6.xml><?xml version="1.0" encoding="utf-8"?>
<we:webextension xmlns:we="http://schemas.microsoft.com/office/webextensions/webextension/2010/11" id="{61992199-6BE2-4614-BC3B-A4645334132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7.xml><?xml version="1.0" encoding="utf-8"?>
<we:webextension xmlns:we="http://schemas.microsoft.com/office/webextensions/webextension/2010/11" id="{78459D3A-E4B2-44B0-81B8-47356F07F39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8.xml><?xml version="1.0" encoding="utf-8"?>
<we:webextension xmlns:we="http://schemas.microsoft.com/office/webextensions/webextension/2010/11" id="{6E02498C-4C64-404A-97B5-E50F2B941E2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69.xml><?xml version="1.0" encoding="utf-8"?>
<we:webextension xmlns:we="http://schemas.microsoft.com/office/webextensions/webextension/2010/11" id="{5BD1D8A9-3E8E-4B18-8736-28B5B9BED06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0.xml><?xml version="1.0" encoding="utf-8"?>
<we:webextension xmlns:we="http://schemas.microsoft.com/office/webextensions/webextension/2010/11" id="{57E8E270-0967-42CB-B355-BAE69F45530F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1.xml><?xml version="1.0" encoding="utf-8"?>
<we:webextension xmlns:we="http://schemas.microsoft.com/office/webextensions/webextension/2010/11" id="{D8F03CA8-319C-47C9-812D-B24D08F7555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2.xml><?xml version="1.0" encoding="utf-8"?>
<we:webextension xmlns:we="http://schemas.microsoft.com/office/webextensions/webextension/2010/11" id="{653D5A73-AE67-48A9-9FA1-2019AF8AEF1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3.xml><?xml version="1.0" encoding="utf-8"?>
<we:webextension xmlns:we="http://schemas.microsoft.com/office/webextensions/webextension/2010/11" id="{1D295C06-3947-4139-BED0-C010E2ABD24E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4.xml><?xml version="1.0" encoding="utf-8"?>
<we:webextension xmlns:we="http://schemas.microsoft.com/office/webextensions/webextension/2010/11" id="{2FA91A20-1F85-45E8-8C38-111DE6EE6BF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5.xml><?xml version="1.0" encoding="utf-8"?>
<we:webextension xmlns:we="http://schemas.microsoft.com/office/webextensions/webextension/2010/11" id="{C32A6244-AAB2-4A17-82C9-283D0D616D8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6.xml><?xml version="1.0" encoding="utf-8"?>
<we:webextension xmlns:we="http://schemas.microsoft.com/office/webextensions/webextension/2010/11" id="{1BDCA450-FC72-401A-8BC3-DEDFF31D8B2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7.xml><?xml version="1.0" encoding="utf-8"?>
<we:webextension xmlns:we="http://schemas.microsoft.com/office/webextensions/webextension/2010/11" id="{32D2702A-DF40-4FB6-A2AB-923663A6D6FC}">
  <we:reference id="wa102957665" version="1.3.0.0" store="es-ES" storeType="OMEX"/>
  <we:alternateReferences>
    <we:reference id="WA102957665" version="1.3.0.0" store="" storeType="OMEX"/>
  </we:alternateReferences>
  <we:properties>
    <we:property name="opt_month" value="&quot;2026-04-01&quot;"/>
  </we:properties>
  <we:bindings/>
  <we:snapshot xmlns:r="http://schemas.openxmlformats.org/officeDocument/2006/relationships" r:embed="rId1"/>
</we:webextension>
</file>

<file path=xl/webextensions/webextension78.xml><?xml version="1.0" encoding="utf-8"?>
<we:webextension xmlns:we="http://schemas.microsoft.com/office/webextensions/webextension/2010/11" id="{152A092A-F06A-47ED-ADAC-6DB4BB38B4F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79.xml><?xml version="1.0" encoding="utf-8"?>
<we:webextension xmlns:we="http://schemas.microsoft.com/office/webextensions/webextension/2010/11" id="{6CDD4BDE-F3A0-4C35-BD09-92D03BE720C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0.xml><?xml version="1.0" encoding="utf-8"?>
<we:webextension xmlns:we="http://schemas.microsoft.com/office/webextensions/webextension/2010/11" id="{76EB94E2-5F18-47B0-A6C8-6B692AE61A3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1.xml><?xml version="1.0" encoding="utf-8"?>
<we:webextension xmlns:we="http://schemas.microsoft.com/office/webextensions/webextension/2010/11" id="{2CBA2704-17F3-453A-903D-D108287949F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2.xml><?xml version="1.0" encoding="utf-8"?>
<we:webextension xmlns:we="http://schemas.microsoft.com/office/webextensions/webextension/2010/11" id="{03A1A636-7851-4984-AEDD-8CC9D22FEF8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3.xml><?xml version="1.0" encoding="utf-8"?>
<we:webextension xmlns:we="http://schemas.microsoft.com/office/webextensions/webextension/2010/11" id="{C44138DA-338E-4ACD-9127-695CE3414BE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4.xml><?xml version="1.0" encoding="utf-8"?>
<we:webextension xmlns:we="http://schemas.microsoft.com/office/webextensions/webextension/2010/11" id="{C7228994-CE95-44A5-9FEB-29210CE35F9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5.xml><?xml version="1.0" encoding="utf-8"?>
<we:webextension xmlns:we="http://schemas.microsoft.com/office/webextensions/webextension/2010/11" id="{61867340-A65A-408B-B83A-3A6AE57B00D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6.xml><?xml version="1.0" encoding="utf-8"?>
<we:webextension xmlns:we="http://schemas.microsoft.com/office/webextensions/webextension/2010/11" id="{5F27C066-2536-47CA-8F07-7EE94E2A789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7.xml><?xml version="1.0" encoding="utf-8"?>
<we:webextension xmlns:we="http://schemas.microsoft.com/office/webextensions/webextension/2010/11" id="{C123EB2F-97A9-483D-A706-188E329E97C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8.xml><?xml version="1.0" encoding="utf-8"?>
<we:webextension xmlns:we="http://schemas.microsoft.com/office/webextensions/webextension/2010/11" id="{78F71D42-4F08-4608-80A1-1DD33344980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89.xml><?xml version="1.0" encoding="utf-8"?>
<we:webextension xmlns:we="http://schemas.microsoft.com/office/webextensions/webextension/2010/11" id="{1ECD5294-0843-42AE-BDFC-1FBC3385D2C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0.xml><?xml version="1.0" encoding="utf-8"?>
<we:webextension xmlns:we="http://schemas.microsoft.com/office/webextensions/webextension/2010/11" id="{8213FEAC-C4FF-4DCC-8616-E7B3931E8FD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1.xml><?xml version="1.0" encoding="utf-8"?>
<we:webextension xmlns:we="http://schemas.microsoft.com/office/webextensions/webextension/2010/11" id="{DF792560-0221-42BE-A234-0ABE0F7A9CD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2.xml><?xml version="1.0" encoding="utf-8"?>
<we:webextension xmlns:we="http://schemas.microsoft.com/office/webextensions/webextension/2010/11" id="{07C42AC8-8F19-4B45-888A-CEA10C62922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3.xml><?xml version="1.0" encoding="utf-8"?>
<we:webextension xmlns:we="http://schemas.microsoft.com/office/webextensions/webextension/2010/11" id="{962B8240-0B8E-4A54-ACD1-7CBD0EEE2E9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4.xml><?xml version="1.0" encoding="utf-8"?>
<we:webextension xmlns:we="http://schemas.microsoft.com/office/webextensions/webextension/2010/11" id="{AC6FEF17-C76F-4C34-9691-225D8BC64E3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5.xml><?xml version="1.0" encoding="utf-8"?>
<we:webextension xmlns:we="http://schemas.microsoft.com/office/webextensions/webextension/2010/11" id="{E5500722-E81F-49E6-9FA6-32ADA0F62F8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6.xml><?xml version="1.0" encoding="utf-8"?>
<we:webextension xmlns:we="http://schemas.microsoft.com/office/webextensions/webextension/2010/11" id="{2DDD4BF7-E331-44C4-8D19-27BA30B5A88B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7.xml><?xml version="1.0" encoding="utf-8"?>
<we:webextension xmlns:we="http://schemas.microsoft.com/office/webextensions/webextension/2010/11" id="{76BC185B-1704-453D-AC6A-EA0AEC82CC4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8.xml><?xml version="1.0" encoding="utf-8"?>
<we:webextension xmlns:we="http://schemas.microsoft.com/office/webextensions/webextension/2010/11" id="{9E558473-95EE-405A-8F32-4D016AB38BF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99.xml><?xml version="1.0" encoding="utf-8"?>
<we:webextension xmlns:we="http://schemas.microsoft.com/office/webextensions/webextension/2010/11" id="{D4E534A2-34BC-4571-A65B-2B56BA38F9F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0.xml><?xml version="1.0" encoding="utf-8"?>
<we:webextension xmlns:we="http://schemas.microsoft.com/office/webextensions/webextension/2010/11" id="{15CDFAE5-F806-4056-A484-A9F94EF58928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1.xml><?xml version="1.0" encoding="utf-8"?>
<we:webextension xmlns:we="http://schemas.microsoft.com/office/webextensions/webextension/2010/11" id="{5841E9E8-A259-4CB8-B35E-C61867695023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2.xml><?xml version="1.0" encoding="utf-8"?>
<we:webextension xmlns:we="http://schemas.microsoft.com/office/webextensions/webextension/2010/11" id="{97217B3A-0BA2-47EA-B674-665CD92FC54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3.xml><?xml version="1.0" encoding="utf-8"?>
<we:webextension xmlns:we="http://schemas.microsoft.com/office/webextensions/webextension/2010/11" id="{E9CE2CEA-DE98-43D4-995D-50150892B570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4.xml><?xml version="1.0" encoding="utf-8"?>
<we:webextension xmlns:we="http://schemas.microsoft.com/office/webextensions/webextension/2010/11" id="{9EC5108E-07C0-40F1-A183-9C7280B3D825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5.xml><?xml version="1.0" encoding="utf-8"?>
<we:webextension xmlns:we="http://schemas.microsoft.com/office/webextensions/webextension/2010/11" id="{FF8B4B3B-CF35-4849-A75D-39411512CA76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6.xml><?xml version="1.0" encoding="utf-8"?>
<we:webextension xmlns:we="http://schemas.microsoft.com/office/webextensions/webextension/2010/11" id="{F7B55C21-4ABD-4672-8572-DC36B5C299DC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7.xml><?xml version="1.0" encoding="utf-8"?>
<we:webextension xmlns:we="http://schemas.microsoft.com/office/webextensions/webextension/2010/11" id="{016D328A-35EC-4467-BB0A-91BAD19F80F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8.xml><?xml version="1.0" encoding="utf-8"?>
<we:webextension xmlns:we="http://schemas.microsoft.com/office/webextensions/webextension/2010/11" id="{61620B6A-9B0B-4F77-9108-B1D8D37E644E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09.xml><?xml version="1.0" encoding="utf-8"?>
<we:webextension xmlns:we="http://schemas.microsoft.com/office/webextensions/webextension/2010/11" id="{330E12F2-1D67-403C-866A-DDCA44A04739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0.xml><?xml version="1.0" encoding="utf-8"?>
<we:webextension xmlns:we="http://schemas.microsoft.com/office/webextensions/webextension/2010/11" id="{CE47750C-C732-4BA5-81BB-4FFF6F5DD392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1.xml><?xml version="1.0" encoding="utf-8"?>
<we:webextension xmlns:we="http://schemas.microsoft.com/office/webextensions/webextension/2010/11" id="{F941E57E-F683-4D2A-BDF8-3E1E533375FA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2.xml><?xml version="1.0" encoding="utf-8"?>
<we:webextension xmlns:we="http://schemas.microsoft.com/office/webextensions/webextension/2010/11" id="{29F515E5-5B0F-4BC0-A9E2-107D12E731AD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3.xml><?xml version="1.0" encoding="utf-8"?>
<we:webextension xmlns:we="http://schemas.microsoft.com/office/webextensions/webextension/2010/11" id="{73E12CE3-A21B-4CB5-A90D-2CFEDA831D67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4.xml><?xml version="1.0" encoding="utf-8"?>
<we:webextension xmlns:we="http://schemas.microsoft.com/office/webextensions/webextension/2010/11" id="{ED7BA5F9-ABD7-45DC-8B1A-5867A8A67A11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ebextensions/webextension115.xml><?xml version="1.0" encoding="utf-8"?>
<we:webextension xmlns:we="http://schemas.microsoft.com/office/webextensions/webextension/2010/11" id="{1CB05331-3BFB-4C96-9978-76300E98DC54}">
  <we:reference id="wa102957665" version="1.3.0.0" store="es-ES" storeType="OMEX"/>
  <we:alternateReferences>
    <we:reference id="WA102957665" version="1.3.0.0" store="" storeType="OMEX"/>
  </we:alternateReferences>
  <we:properties/>
  <we:bindings/>
  <we:snapshot xmlns:r="http://schemas.openxmlformats.org/officeDocument/2006/relationships" r:embed="rId1"/>
</we:webextension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>
    <tabColor theme="6"/>
  </sheetPr>
  <dimension ref="A1:W31"/>
  <sheetViews>
    <sheetView showGridLines="0" tabSelected="1" topLeftCell="J1" zoomScale="70" zoomScaleNormal="70" workbookViewId="0">
      <pane ySplit="16" topLeftCell="A17" activePane="bottomLeft" state="frozen"/>
      <selection activeCell="D25" sqref="D25"/>
      <selection pane="bottomLeft" activeCell="N5" sqref="N5"/>
    </sheetView>
  </sheetViews>
  <sheetFormatPr baseColWidth="10" defaultColWidth="8.77734375" defaultRowHeight="14.4" x14ac:dyDescent="0.3"/>
  <cols>
    <col min="1" max="1" width="29" style="102" customWidth="1"/>
    <col min="2" max="2" width="28" style="102" customWidth="1"/>
    <col min="3" max="3" width="23.44140625" style="102" customWidth="1"/>
    <col min="4" max="4" width="20.77734375" style="102" customWidth="1"/>
    <col min="5" max="5" width="19.6640625" style="102" customWidth="1"/>
    <col min="6" max="6" width="23.44140625" style="102" customWidth="1"/>
    <col min="7" max="7" width="20.44140625" style="102" customWidth="1"/>
    <col min="8" max="8" width="25.33203125" style="102" customWidth="1"/>
    <col min="9" max="9" width="20.44140625" style="102" customWidth="1"/>
    <col min="10" max="10" width="17.109375" style="102" customWidth="1"/>
    <col min="11" max="11" width="19.33203125" style="102" customWidth="1"/>
    <col min="12" max="12" width="18.109375" style="102" customWidth="1"/>
    <col min="13" max="13" width="20.33203125" style="102" customWidth="1"/>
    <col min="14" max="14" width="20" style="102" customWidth="1"/>
    <col min="15" max="15" width="16.44140625" style="102" customWidth="1"/>
    <col min="16" max="17" width="21.109375" style="102" customWidth="1"/>
    <col min="18" max="18" width="23" style="102" customWidth="1"/>
    <col min="19" max="19" width="20.77734375" style="102" customWidth="1"/>
    <col min="20" max="20" width="16.109375" style="102" customWidth="1"/>
    <col min="21" max="21" width="17.77734375" style="102" customWidth="1"/>
    <col min="22" max="22" width="16.44140625" style="102" customWidth="1"/>
    <col min="23" max="23" width="24.44140625" style="102" customWidth="1"/>
    <col min="24" max="25" width="12.109375" style="102" customWidth="1"/>
    <col min="26" max="16384" width="8.77734375" style="102"/>
  </cols>
  <sheetData>
    <row r="1" spans="1:23" ht="30" customHeight="1" x14ac:dyDescent="0.3">
      <c r="A1" s="100" t="s">
        <v>8</v>
      </c>
      <c r="B1" s="188" t="s">
        <v>255</v>
      </c>
      <c r="C1" s="189"/>
      <c r="D1" s="182"/>
      <c r="E1" s="183"/>
      <c r="F1" s="101" t="s">
        <v>17</v>
      </c>
      <c r="G1" s="99" t="s">
        <v>19</v>
      </c>
      <c r="H1" s="207" t="s">
        <v>21</v>
      </c>
      <c r="I1" s="208"/>
      <c r="J1" s="209" t="s">
        <v>18</v>
      </c>
      <c r="K1" s="208"/>
      <c r="L1" s="210" t="s">
        <v>22</v>
      </c>
      <c r="M1" s="210"/>
      <c r="N1" s="209" t="s">
        <v>23</v>
      </c>
      <c r="O1" s="211"/>
    </row>
    <row r="2" spans="1:23" ht="30" customHeight="1" x14ac:dyDescent="0.3">
      <c r="A2" s="103" t="s">
        <v>9</v>
      </c>
      <c r="B2" s="190">
        <v>7</v>
      </c>
      <c r="C2" s="191"/>
      <c r="D2" s="184"/>
      <c r="E2" s="185"/>
      <c r="F2" s="113" t="str">
        <f ca="1">HYPERLINK("#'" &amp; IF(TODAY() &gt; N2, "Asis. Cot. IIP", "Asis. Cot IP") &amp; "'!F2", "Asistencia")</f>
        <v>Asistencia</v>
      </c>
      <c r="G2" s="22">
        <v>5</v>
      </c>
      <c r="H2" s="212" t="s">
        <v>24</v>
      </c>
      <c r="I2" s="213"/>
      <c r="J2" s="214">
        <v>50</v>
      </c>
      <c r="K2" s="215"/>
      <c r="L2" s="216">
        <v>46076</v>
      </c>
      <c r="M2" s="216"/>
      <c r="N2" s="216">
        <v>46178</v>
      </c>
      <c r="O2" s="217"/>
    </row>
    <row r="3" spans="1:23" ht="30" customHeight="1" thickBot="1" x14ac:dyDescent="0.35">
      <c r="A3" s="103" t="s">
        <v>10</v>
      </c>
      <c r="B3" s="190" t="s">
        <v>256</v>
      </c>
      <c r="C3" s="191"/>
      <c r="D3" s="184"/>
      <c r="E3" s="185"/>
      <c r="F3" s="101" t="s">
        <v>4</v>
      </c>
      <c r="G3" s="22">
        <v>10</v>
      </c>
      <c r="H3" s="201" t="s">
        <v>25</v>
      </c>
      <c r="I3" s="202"/>
      <c r="J3" s="203">
        <v>50</v>
      </c>
      <c r="K3" s="204"/>
      <c r="L3" s="205">
        <v>46150</v>
      </c>
      <c r="M3" s="205"/>
      <c r="N3" s="205">
        <v>46276</v>
      </c>
      <c r="O3" s="206"/>
    </row>
    <row r="4" spans="1:23" ht="30" customHeight="1" x14ac:dyDescent="0.3">
      <c r="A4" s="103" t="s">
        <v>11</v>
      </c>
      <c r="B4" s="190" t="s">
        <v>265</v>
      </c>
      <c r="C4" s="191"/>
      <c r="D4" s="184"/>
      <c r="E4" s="185"/>
      <c r="F4" s="101" t="s">
        <v>5</v>
      </c>
      <c r="G4" s="22">
        <v>45</v>
      </c>
      <c r="H4" s="104" t="s">
        <v>50</v>
      </c>
      <c r="I4" s="23">
        <v>70</v>
      </c>
    </row>
    <row r="5" spans="1:23" ht="30" customHeight="1" x14ac:dyDescent="0.3">
      <c r="A5" s="103" t="s">
        <v>12</v>
      </c>
      <c r="B5" s="190" t="s">
        <v>257</v>
      </c>
      <c r="C5" s="191"/>
      <c r="D5" s="186"/>
      <c r="E5" s="187"/>
      <c r="F5" s="101" t="s">
        <v>6</v>
      </c>
      <c r="G5" s="22">
        <v>15</v>
      </c>
    </row>
    <row r="6" spans="1:23" ht="30" customHeight="1" x14ac:dyDescent="0.3">
      <c r="A6" s="103" t="s">
        <v>13</v>
      </c>
      <c r="B6" s="197">
        <v>12</v>
      </c>
      <c r="C6" s="197"/>
      <c r="D6" s="1" t="s">
        <v>14</v>
      </c>
      <c r="E6" s="2" t="s">
        <v>312</v>
      </c>
      <c r="F6" s="101" t="s">
        <v>7</v>
      </c>
      <c r="G6" s="22">
        <v>25</v>
      </c>
    </row>
    <row r="7" spans="1:23" ht="30" customHeight="1" x14ac:dyDescent="0.3">
      <c r="A7" s="103" t="s">
        <v>15</v>
      </c>
      <c r="B7" s="190"/>
      <c r="C7" s="190"/>
      <c r="D7" s="190"/>
      <c r="E7" s="191"/>
      <c r="F7" s="101" t="s">
        <v>33</v>
      </c>
      <c r="G7" s="22">
        <v>0</v>
      </c>
    </row>
    <row r="8" spans="1:23" ht="30" customHeight="1" thickBot="1" x14ac:dyDescent="0.35">
      <c r="A8" s="105" t="s">
        <v>16</v>
      </c>
      <c r="B8" s="198"/>
      <c r="C8" s="198"/>
      <c r="D8" s="198"/>
      <c r="E8" s="199"/>
      <c r="F8" s="101" t="s">
        <v>20</v>
      </c>
      <c r="G8" s="112" t="str">
        <f>IF(AND(SUM(G2:G7)=100),"Ok","Error la suma debe de ser 100")</f>
        <v>Ok</v>
      </c>
    </row>
    <row r="9" spans="1:23" ht="15.6" x14ac:dyDescent="0.3">
      <c r="F9" s="101" t="s">
        <v>32</v>
      </c>
    </row>
    <row r="12" spans="1:23" ht="14.55" customHeight="1" x14ac:dyDescent="0.3">
      <c r="C12" s="102" t="s">
        <v>223</v>
      </c>
    </row>
    <row r="13" spans="1:23" ht="14.55" customHeight="1" x14ac:dyDescent="0.3">
      <c r="M13" s="200"/>
      <c r="N13" s="200"/>
      <c r="O13" s="200"/>
      <c r="P13" s="200"/>
      <c r="Q13" s="200"/>
      <c r="R13" s="200"/>
      <c r="S13" s="200"/>
      <c r="T13" s="200"/>
    </row>
    <row r="14" spans="1:23" ht="15" customHeight="1" x14ac:dyDescent="0.3">
      <c r="M14" s="106"/>
      <c r="N14" s="106"/>
      <c r="O14" s="107"/>
      <c r="P14" s="107"/>
      <c r="Q14" s="107"/>
      <c r="R14" s="106"/>
      <c r="S14" s="106"/>
      <c r="T14" s="108"/>
    </row>
    <row r="15" spans="1:23" ht="30.45" customHeight="1" x14ac:dyDescent="0.3">
      <c r="E15" s="192" t="s">
        <v>34</v>
      </c>
      <c r="F15" s="193"/>
      <c r="G15" s="193"/>
      <c r="H15" s="193"/>
      <c r="I15" s="193"/>
      <c r="J15" s="193"/>
      <c r="K15" s="193"/>
      <c r="L15" s="194" t="s">
        <v>37</v>
      </c>
      <c r="M15" s="195"/>
      <c r="N15" s="195"/>
      <c r="O15" s="195"/>
      <c r="P15" s="195"/>
      <c r="Q15" s="195"/>
      <c r="R15" s="196"/>
      <c r="S15" s="106"/>
      <c r="T15" s="108"/>
    </row>
    <row r="16" spans="1:23" ht="33" customHeight="1" x14ac:dyDescent="0.3">
      <c r="A16" s="109" t="s">
        <v>0</v>
      </c>
      <c r="B16" s="109" t="s">
        <v>1</v>
      </c>
      <c r="C16" s="109" t="s">
        <v>2</v>
      </c>
      <c r="D16" s="109" t="s">
        <v>3</v>
      </c>
      <c r="E16" s="109" t="s">
        <v>39</v>
      </c>
      <c r="F16" s="109" t="s">
        <v>38</v>
      </c>
      <c r="G16" s="109" t="s">
        <v>40</v>
      </c>
      <c r="H16" s="109" t="s">
        <v>41</v>
      </c>
      <c r="I16" s="109" t="s">
        <v>42</v>
      </c>
      <c r="J16" s="109" t="s">
        <v>43</v>
      </c>
      <c r="K16" s="110" t="s">
        <v>35</v>
      </c>
      <c r="L16" s="109" t="s">
        <v>44</v>
      </c>
      <c r="M16" s="109" t="s">
        <v>45</v>
      </c>
      <c r="N16" s="109" t="s">
        <v>46</v>
      </c>
      <c r="O16" s="109" t="s">
        <v>234</v>
      </c>
      <c r="P16" s="109" t="s">
        <v>47</v>
      </c>
      <c r="Q16" s="109" t="s">
        <v>48</v>
      </c>
      <c r="R16" s="110" t="s">
        <v>246</v>
      </c>
      <c r="S16" s="109" t="s">
        <v>36</v>
      </c>
      <c r="T16" s="109" t="s">
        <v>49</v>
      </c>
      <c r="U16" s="110" t="s">
        <v>243</v>
      </c>
      <c r="V16" s="110" t="s">
        <v>244</v>
      </c>
      <c r="W16" s="110" t="s">
        <v>245</v>
      </c>
    </row>
    <row r="17" spans="1:23" ht="15.6" x14ac:dyDescent="0.3">
      <c r="A17" s="135" t="s">
        <v>268</v>
      </c>
      <c r="B17" s="135" t="s">
        <v>269</v>
      </c>
      <c r="C17" s="135" t="s">
        <v>270</v>
      </c>
      <c r="D17" s="152">
        <v>209070147</v>
      </c>
      <c r="E17" s="160">
        <f>IF(OR('Asis. Cot IP'!$A$8="",'Asis. Cot IP'!$A$8=0),
   "",
   Principal!$G$2*(1-((_xlfn.XLOOKUP($D17,'Asis. Cot IP'!D:D,'Asis. Cot IP'!E:E)
   +_xlfn.XLOOKUP($D17,'Asis. Cot IP'!D:D,'Asis. Cot IP'!F:F)
   +QUOTIENT(_xlfn.XLOOKUP($D17,'Asis. Cot IP'!D:D,'Asis. Cot IP'!G:G),2))
   /'Asis. Cot IP'!$A$8)))</f>
        <v>4.7674418604651168</v>
      </c>
      <c r="F17" s="161">
        <f>IFERROR(_xlfn.XLOOKUP(D17,'Asis. Cot IP'!D:D,'Asis. Cot IP'!FM:FM)/'Asis. Cot IP'!$A$8*Principal!$G$6,"")</f>
        <v>25</v>
      </c>
      <c r="G17" s="160">
        <f>_xlfn.XLOOKUP(D17,Portafolio!D:D,Portafolio!E:E,"")</f>
        <v>0</v>
      </c>
      <c r="H17" s="160" cm="1">
        <f t="array" ref="H17">_xlfn.XLOOKUP(D17,Tareas!D:D,Tareas!F:F + +Tareas!G:G,"")</f>
        <v>9.5399999999999991</v>
      </c>
      <c r="I17" s="160" cm="1">
        <f t="array" ref="I17">_xlfn.XLOOKUP(D17,Evaluaciones!D:D,Evaluaciones!F:F+Evaluaciones!G:G,"")</f>
        <v>43.24</v>
      </c>
      <c r="J17" s="160">
        <f>_xlfn.XLOOKUP(D17,Proyectos!D:D,Proyectos!E:E,"")</f>
        <v>15</v>
      </c>
      <c r="K17" s="162">
        <f t="shared" ref="K17:K31" si="0">SUM(E17,F17,G17,H17,I17,J17)</f>
        <v>97.547441860465113</v>
      </c>
      <c r="L17" s="163">
        <f>IF(OR('Asis. Cot. IIP'!$A$8="",'Asis. Cot. IIP'!$A$8=0),"",Principal!$G$2*(1-((_xlfn.XLOOKUP($D17,'Asis. Cot. IIP'!D:D,'Asis. Cot. IIP'!E:E)+_xlfn.XLOOKUP($D17,'Asis. Cot. IIP'!D:D,'Asis. Cot. IIP'!F:F)+QUOTIENT(_xlfn.XLOOKUP($D17,'Asis. Cot. IIP'!D:D,'Asis. Cot. IIP'!G:G),2))/'Asis. Cot. IIP'!$A$8)))</f>
        <v>4.4230769230769234</v>
      </c>
      <c r="M17" s="135">
        <f>IFERROR(_xlfn.XLOOKUP(D17,'Asis. Cot. IIP'!D:D,'Asis. Cot. IIP'!FM:FM)/'Asis. Cot. IIP'!$A$8*Principal!$G$6,"")</f>
        <v>19.230769230769234</v>
      </c>
      <c r="N17" s="135">
        <f>_xlfn.XLOOKUP(D17,Portafolio!D:D,Portafolio!F:F,"")</f>
        <v>0</v>
      </c>
      <c r="O17" s="135" cm="1">
        <f t="array" ref="O17">_xlfn.XLOOKUP(D17,Tareas!D:D,Tareas!I:I + Tareas!J:J,"")</f>
        <v>3</v>
      </c>
      <c r="P17" s="135" cm="1">
        <f t="array" ref="P17">_xlfn.XLOOKUP(D17,Evaluaciones!D:D,Evaluaciones!I:I+Evaluaciones!J:J,"")</f>
        <v>43.84</v>
      </c>
      <c r="Q17" s="135">
        <f>_xlfn.XLOOKUP(D17,Proyectos!D:D,Proyectos!F:F,"")</f>
        <v>15</v>
      </c>
      <c r="R17" s="163">
        <f t="shared" ref="R17:R31" si="1">SUM(L17,M17,N17,O17,P17,Q17)</f>
        <v>85.493846153846164</v>
      </c>
      <c r="S17" s="135">
        <f>(Estudiantes[[#This Row],[Promedio I Periodo]]*$J$2%)+(Estudiantes[[#This Row],[Promedio Segundo Peridodo]]*$J$3%)</f>
        <v>91.520644007155639</v>
      </c>
      <c r="T17" s="135" t="str">
        <f>IF(Estudiantes[[#This Row],[Promedio Anual]]&gt;=$I$4,"APROBADO","REPROBADO")</f>
        <v>APROBADO</v>
      </c>
      <c r="U17" s="135" t="str">
        <f>IF(Estudiantes[[#This Row],[Promedio Anual]]&gt;=$I$4,"NO NECESITA","PENDIENTE")</f>
        <v>NO NECESITA</v>
      </c>
      <c r="V17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17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18" spans="1:23" ht="15.6" x14ac:dyDescent="0.3">
      <c r="A18" s="135" t="s">
        <v>268</v>
      </c>
      <c r="B18" s="135" t="s">
        <v>267</v>
      </c>
      <c r="C18" s="135" t="s">
        <v>271</v>
      </c>
      <c r="D18" s="152">
        <v>209040532</v>
      </c>
      <c r="E18" s="160">
        <f>IF(OR('Asis. Cot IP'!$A$8="",'Asis. Cot IP'!$A$8=0),
   "",
   Principal!$G$2*(1-((_xlfn.XLOOKUP($D18,'Asis. Cot IP'!D:D,'Asis. Cot IP'!E:E)
   +_xlfn.XLOOKUP($D18,'Asis. Cot IP'!D:D,'Asis. Cot IP'!F:F)
   +QUOTIENT(_xlfn.XLOOKUP($D18,'Asis. Cot IP'!D:D,'Asis. Cot IP'!G:G),2))
   /'Asis. Cot IP'!$A$8)))</f>
        <v>5</v>
      </c>
      <c r="F18" s="161">
        <f>IFERROR(_xlfn.XLOOKUP(D18,'Asis. Cot IP'!D:D,'Asis. Cot IP'!FM:FM)/'Asis. Cot IP'!$A$8*Principal!$G$6,"")</f>
        <v>25</v>
      </c>
      <c r="G18" s="160">
        <f>_xlfn.XLOOKUP(D18,Portafolio!D:D,Portafolio!E:E,"")</f>
        <v>0</v>
      </c>
      <c r="H18" s="160" cm="1">
        <f t="array" ref="H18">_xlfn.XLOOKUP(D18,Tareas!D:D,Tareas!F:F + +Tareas!G:G,"")</f>
        <v>9.07</v>
      </c>
      <c r="I18" s="160" cm="1">
        <f t="array" ref="I18">_xlfn.XLOOKUP(D18,Evaluaciones!D:D,Evaluaciones!F:F+Evaluaciones!G:G,"")</f>
        <v>43.03</v>
      </c>
      <c r="J18" s="160">
        <f>_xlfn.XLOOKUP(D18,Proyectos!D:D,Proyectos!E:E,"")</f>
        <v>14.37</v>
      </c>
      <c r="K18" s="162">
        <f t="shared" si="0"/>
        <v>96.47</v>
      </c>
      <c r="L18" s="163">
        <f>IF(OR('Asis. Cot. IIP'!$A$8="",'Asis. Cot. IIP'!$A$8=0),"",Principal!$G$2*(1-((_xlfn.XLOOKUP($D18,'Asis. Cot. IIP'!D:D,'Asis. Cot. IIP'!E:E)+_xlfn.XLOOKUP($D18,'Asis. Cot. IIP'!D:D,'Asis. Cot. IIP'!F:F)+QUOTIENT(_xlfn.XLOOKUP($D18,'Asis. Cot. IIP'!D:D,'Asis. Cot. IIP'!G:G),2))/'Asis. Cot. IIP'!$A$8)))</f>
        <v>5</v>
      </c>
      <c r="M18" s="135">
        <f>IFERROR(_xlfn.XLOOKUP(D18,'Asis. Cot. IIP'!D:D,'Asis. Cot. IIP'!FM:FM)/'Asis. Cot. IIP'!$A$8*Principal!$G$6,"")</f>
        <v>22.115384615384613</v>
      </c>
      <c r="N18" s="135">
        <f>_xlfn.XLOOKUP(D18,Portafolio!D:D,Portafolio!F:F,"")</f>
        <v>0</v>
      </c>
      <c r="O18" s="135" cm="1">
        <f t="array" ref="O18">_xlfn.XLOOKUP(D18,Tareas!D:D,Tareas!I:I + Tareas!J:J,"")</f>
        <v>3</v>
      </c>
      <c r="P18" s="135" cm="1">
        <f t="array" ref="P18">_xlfn.XLOOKUP(D18,Evaluaciones!D:D,Evaluaciones!I:I+Evaluaciones!J:J,"")</f>
        <v>43.07</v>
      </c>
      <c r="Q18" s="135">
        <f>_xlfn.XLOOKUP(D18,Proyectos!D:D,Proyectos!F:F,"")</f>
        <v>15</v>
      </c>
      <c r="R18" s="163">
        <f t="shared" si="1"/>
        <v>88.185384615384606</v>
      </c>
      <c r="S18" s="135">
        <f>(Estudiantes[[#This Row],[Promedio I Periodo]]*$J$2%)+(Estudiantes[[#This Row],[Promedio Segundo Peridodo]]*$J$3%)</f>
        <v>92.327692307692303</v>
      </c>
      <c r="T18" s="135" t="str">
        <f>IF(Estudiantes[[#This Row],[Promedio Anual]]&gt;=$I$4,"APROBADO","REPROBADO")</f>
        <v>APROBADO</v>
      </c>
      <c r="U18" s="135" t="str">
        <f>IF(Estudiantes[[#This Row],[Promedio Anual]]&gt;=$I$4,"NO NECESITA","PENDIENTE")</f>
        <v>NO NECESITA</v>
      </c>
      <c r="V18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18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19" spans="1:23" ht="15.6" x14ac:dyDescent="0.3">
      <c r="A19" s="135" t="s">
        <v>272</v>
      </c>
      <c r="B19" s="135" t="s">
        <v>273</v>
      </c>
      <c r="C19" s="135" t="s">
        <v>274</v>
      </c>
      <c r="D19" s="152">
        <v>120100787</v>
      </c>
      <c r="E19" s="160">
        <f>IF(OR('Asis. Cot IP'!$A$8="",'Asis. Cot IP'!$A$8=0),
   "",
   Principal!$G$2*(1-((_xlfn.XLOOKUP($D19,'Asis. Cot IP'!D:D,'Asis. Cot IP'!E:E)
   +_xlfn.XLOOKUP($D19,'Asis. Cot IP'!D:D,'Asis. Cot IP'!F:F)
   +QUOTIENT(_xlfn.XLOOKUP($D19,'Asis. Cot IP'!D:D,'Asis. Cot IP'!G:G),2))
   /'Asis. Cot IP'!$A$8)))</f>
        <v>5</v>
      </c>
      <c r="F19" s="161">
        <f>IFERROR(_xlfn.XLOOKUP(D19,'Asis. Cot IP'!D:D,'Asis. Cot IP'!FM:FM)/'Asis. Cot IP'!$A$8*Principal!$G$6,"")</f>
        <v>25</v>
      </c>
      <c r="G19" s="160">
        <f>_xlfn.XLOOKUP(D19,Portafolio!D:D,Portafolio!E:E,"")</f>
        <v>0</v>
      </c>
      <c r="H19" s="160" cm="1">
        <f t="array" ref="H19">_xlfn.XLOOKUP(D19,Tareas!D:D,Tareas!F:F + +Tareas!G:G,"")</f>
        <v>10</v>
      </c>
      <c r="I19" s="160" cm="1">
        <f t="array" ref="I19">_xlfn.XLOOKUP(D19,Evaluaciones!D:D,Evaluaciones!F:F+Evaluaciones!G:G,"")</f>
        <v>45</v>
      </c>
      <c r="J19" s="160">
        <f>_xlfn.XLOOKUP(D19,Proyectos!D:D,Proyectos!E:E,"")</f>
        <v>15</v>
      </c>
      <c r="K19" s="162">
        <f t="shared" si="0"/>
        <v>100</v>
      </c>
      <c r="L19" s="163">
        <f>IF(OR('Asis. Cot. IIP'!$A$8="",'Asis. Cot. IIP'!$A$8=0),"",Principal!$G$2*(1-((_xlfn.XLOOKUP($D19,'Asis. Cot. IIP'!D:D,'Asis. Cot. IIP'!E:E)+_xlfn.XLOOKUP($D19,'Asis. Cot. IIP'!D:D,'Asis. Cot. IIP'!F:F)+QUOTIENT(_xlfn.XLOOKUP($D19,'Asis. Cot. IIP'!D:D,'Asis. Cot. IIP'!G:G),2))/'Asis. Cot. IIP'!$A$8)))</f>
        <v>5</v>
      </c>
      <c r="M19" s="135">
        <f>IFERROR(_xlfn.XLOOKUP(D19,'Asis. Cot. IIP'!D:D,'Asis. Cot. IIP'!FM:FM)/'Asis. Cot. IIP'!$A$8*Principal!$G$6,"")</f>
        <v>22.115384615384613</v>
      </c>
      <c r="N19" s="135">
        <f>_xlfn.XLOOKUP(D19,Portafolio!D:D,Portafolio!F:F,"")</f>
        <v>0</v>
      </c>
      <c r="O19" s="135" cm="1">
        <f t="array" ref="O19">_xlfn.XLOOKUP(D19,Tareas!D:D,Tareas!I:I + Tareas!J:J,"")</f>
        <v>3</v>
      </c>
      <c r="P19" s="135" cm="1">
        <f t="array" ref="P19">_xlfn.XLOOKUP(D19,Evaluaciones!D:D,Evaluaciones!I:I+Evaluaciones!J:J,"")</f>
        <v>44.61</v>
      </c>
      <c r="Q19" s="135">
        <f>_xlfn.XLOOKUP(D19,Proyectos!D:D,Proyectos!F:F,"")</f>
        <v>15</v>
      </c>
      <c r="R19" s="163">
        <f t="shared" si="1"/>
        <v>89.725384615384613</v>
      </c>
      <c r="S19" s="135">
        <f>(Estudiantes[[#This Row],[Promedio I Periodo]]*$J$2%)+(Estudiantes[[#This Row],[Promedio Segundo Peridodo]]*$J$3%)</f>
        <v>94.862692307692299</v>
      </c>
      <c r="T19" s="135" t="str">
        <f>IF(Estudiantes[[#This Row],[Promedio Anual]]&gt;=$I$4,"APROBADO","REPROBADO")</f>
        <v>APROBADO</v>
      </c>
      <c r="U19" s="135" t="str">
        <f>IF(Estudiantes[[#This Row],[Promedio Anual]]&gt;=$I$4,"NO NECESITA","PENDIENTE")</f>
        <v>NO NECESITA</v>
      </c>
      <c r="V19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19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0" spans="1:23" ht="15.6" x14ac:dyDescent="0.3">
      <c r="A20" s="135" t="s">
        <v>275</v>
      </c>
      <c r="B20" s="135" t="s">
        <v>276</v>
      </c>
      <c r="C20" s="135" t="s">
        <v>277</v>
      </c>
      <c r="D20" s="152">
        <v>209010382</v>
      </c>
      <c r="E20" s="160">
        <f>IF(OR('Asis. Cot IP'!$A$8="",'Asis. Cot IP'!$A$8=0),
   "",
   Principal!$G$2*(1-((_xlfn.XLOOKUP($D20,'Asis. Cot IP'!D:D,'Asis. Cot IP'!E:E)
   +_xlfn.XLOOKUP($D20,'Asis. Cot IP'!D:D,'Asis. Cot IP'!F:F)
   +QUOTIENT(_xlfn.XLOOKUP($D20,'Asis. Cot IP'!D:D,'Asis. Cot IP'!G:G),2))
   /'Asis. Cot IP'!$A$8)))</f>
        <v>5</v>
      </c>
      <c r="F20" s="161">
        <f>IFERROR(_xlfn.XLOOKUP(D20,'Asis. Cot IP'!D:D,'Asis. Cot IP'!FM:FM)/'Asis. Cot IP'!$A$8*Principal!$G$6,"")</f>
        <v>25</v>
      </c>
      <c r="G20" s="160">
        <f>_xlfn.XLOOKUP(D20,Portafolio!D:D,Portafolio!E:E,"")</f>
        <v>0</v>
      </c>
      <c r="H20" s="160" cm="1">
        <f t="array" ref="H20">_xlfn.XLOOKUP(D20,Tareas!D:D,Tareas!F:F + +Tareas!G:G,"")</f>
        <v>10</v>
      </c>
      <c r="I20" s="160" cm="1">
        <f t="array" ref="I20">_xlfn.XLOOKUP(D20,Evaluaciones!D:D,Evaluaciones!F:F+Evaluaciones!G:G,"")</f>
        <v>43.730000000000004</v>
      </c>
      <c r="J20" s="160">
        <f>_xlfn.XLOOKUP(D20,Proyectos!D:D,Proyectos!E:E,"")</f>
        <v>14.7</v>
      </c>
      <c r="K20" s="162">
        <f t="shared" si="0"/>
        <v>98.43</v>
      </c>
      <c r="L20" s="163">
        <f>IF(OR('Asis. Cot. IIP'!$A$8="",'Asis. Cot. IIP'!$A$8=0),"",Principal!$G$2*(1-((_xlfn.XLOOKUP($D20,'Asis. Cot. IIP'!D:D,'Asis. Cot. IIP'!E:E)+_xlfn.XLOOKUP($D20,'Asis. Cot. IIP'!D:D,'Asis. Cot. IIP'!F:F)+QUOTIENT(_xlfn.XLOOKUP($D20,'Asis. Cot. IIP'!D:D,'Asis. Cot. IIP'!G:G),2))/'Asis. Cot. IIP'!$A$8)))</f>
        <v>4.8076923076923075</v>
      </c>
      <c r="M20" s="135">
        <f>IFERROR(_xlfn.XLOOKUP(D20,'Asis. Cot. IIP'!D:D,'Asis. Cot. IIP'!FM:FM)/'Asis. Cot. IIP'!$A$8*Principal!$G$6,"")</f>
        <v>22.115384615384613</v>
      </c>
      <c r="N20" s="135">
        <f>_xlfn.XLOOKUP(D20,Portafolio!D:D,Portafolio!F:F,"")</f>
        <v>0</v>
      </c>
      <c r="O20" s="135" cm="1">
        <f t="array" ref="O20">_xlfn.XLOOKUP(D20,Tareas!D:D,Tareas!I:I + Tareas!J:J,"")</f>
        <v>3</v>
      </c>
      <c r="P20" s="135" cm="1">
        <f t="array" ref="P20">_xlfn.XLOOKUP(D20,Evaluaciones!D:D,Evaluaciones!I:I+Evaluaciones!J:J,"")</f>
        <v>43.84</v>
      </c>
      <c r="Q20" s="135">
        <f>_xlfn.XLOOKUP(D20,Proyectos!D:D,Proyectos!F:F,"")</f>
        <v>15</v>
      </c>
      <c r="R20" s="163">
        <f t="shared" si="1"/>
        <v>88.763076923076923</v>
      </c>
      <c r="S20" s="135">
        <f>(Estudiantes[[#This Row],[Promedio I Periodo]]*$J$2%)+(Estudiantes[[#This Row],[Promedio Segundo Peridodo]]*$J$3%)</f>
        <v>93.596538461538472</v>
      </c>
      <c r="T20" s="135" t="str">
        <f>IF(Estudiantes[[#This Row],[Promedio Anual]]&gt;=$I$4,"APROBADO","REPROBADO")</f>
        <v>APROBADO</v>
      </c>
      <c r="U20" s="135" t="str">
        <f>IF(Estudiantes[[#This Row],[Promedio Anual]]&gt;=$I$4,"NO NECESITA","PENDIENTE")</f>
        <v>NO NECESITA</v>
      </c>
      <c r="V20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0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1" spans="1:23" ht="15.6" x14ac:dyDescent="0.3">
      <c r="A21" s="135" t="s">
        <v>275</v>
      </c>
      <c r="B21" s="135" t="s">
        <v>278</v>
      </c>
      <c r="C21" s="135" t="s">
        <v>279</v>
      </c>
      <c r="D21" s="152">
        <v>209050852</v>
      </c>
      <c r="E21" s="160">
        <f>IF(OR('Asis. Cot IP'!$A$8="",'Asis. Cot IP'!$A$8=0),
   "",
   Principal!$G$2*(1-((_xlfn.XLOOKUP($D21,'Asis. Cot IP'!D:D,'Asis. Cot IP'!E:E)
   +_xlfn.XLOOKUP($D21,'Asis. Cot IP'!D:D,'Asis. Cot IP'!F:F)
   +QUOTIENT(_xlfn.XLOOKUP($D21,'Asis. Cot IP'!D:D,'Asis. Cot IP'!G:G),2))
   /'Asis. Cot IP'!$A$8)))</f>
        <v>5</v>
      </c>
      <c r="F21" s="161">
        <f>IFERROR(_xlfn.XLOOKUP(D21,'Asis. Cot IP'!D:D,'Asis. Cot IP'!FM:FM)/'Asis. Cot IP'!$A$8*Principal!$G$6,"")</f>
        <v>25</v>
      </c>
      <c r="G21" s="160">
        <f>_xlfn.XLOOKUP(D21,Portafolio!D:D,Portafolio!E:E,"")</f>
        <v>0</v>
      </c>
      <c r="H21" s="160" cm="1">
        <f t="array" ref="H21">_xlfn.XLOOKUP(D21,Tareas!D:D,Tareas!F:F + +Tareas!G:G,"")</f>
        <v>8.86</v>
      </c>
      <c r="I21" s="160" cm="1">
        <f t="array" ref="I21">_xlfn.XLOOKUP(D21,Evaluaciones!D:D,Evaluaciones!F:F+Evaluaciones!G:G,"")</f>
        <v>42.47</v>
      </c>
      <c r="J21" s="160">
        <f>_xlfn.XLOOKUP(D21,Proyectos!D:D,Proyectos!E:E,"")</f>
        <v>14.37</v>
      </c>
      <c r="K21" s="162">
        <f t="shared" si="0"/>
        <v>95.7</v>
      </c>
      <c r="L21" s="163">
        <f>IF(OR('Asis. Cot. IIP'!$A$8="",'Asis. Cot. IIP'!$A$8=0),"",Principal!$G$2*(1-((_xlfn.XLOOKUP($D21,'Asis. Cot. IIP'!D:D,'Asis. Cot. IIP'!E:E)+_xlfn.XLOOKUP($D21,'Asis. Cot. IIP'!D:D,'Asis. Cot. IIP'!F:F)+QUOTIENT(_xlfn.XLOOKUP($D21,'Asis. Cot. IIP'!D:D,'Asis. Cot. IIP'!G:G),2))/'Asis. Cot. IIP'!$A$8)))</f>
        <v>4.4230769230769234</v>
      </c>
      <c r="M21" s="135">
        <f>IFERROR(_xlfn.XLOOKUP(D21,'Asis. Cot. IIP'!D:D,'Asis. Cot. IIP'!FM:FM)/'Asis. Cot. IIP'!$A$8*Principal!$G$6,"")</f>
        <v>16.346153846153847</v>
      </c>
      <c r="N21" s="135">
        <f>_xlfn.XLOOKUP(D21,Portafolio!D:D,Portafolio!F:F,"")</f>
        <v>0</v>
      </c>
      <c r="O21" s="135" cm="1">
        <f t="array" ref="O21">_xlfn.XLOOKUP(D21,Tareas!D:D,Tareas!I:I + Tareas!J:J,"")</f>
        <v>3</v>
      </c>
      <c r="P21" s="135" cm="1">
        <f t="array" ref="P21">_xlfn.XLOOKUP(D21,Evaluaciones!D:D,Evaluaciones!I:I+Evaluaciones!J:J,"")</f>
        <v>43.84</v>
      </c>
      <c r="Q21" s="135">
        <f>_xlfn.XLOOKUP(D21,Proyectos!D:D,Proyectos!F:F,"")</f>
        <v>15</v>
      </c>
      <c r="R21" s="163">
        <f t="shared" si="1"/>
        <v>82.609230769230777</v>
      </c>
      <c r="S21" s="135">
        <f>(Estudiantes[[#This Row],[Promedio I Periodo]]*$J$2%)+(Estudiantes[[#This Row],[Promedio Segundo Peridodo]]*$J$3%)</f>
        <v>89.154615384615397</v>
      </c>
      <c r="T21" s="135" t="str">
        <f>IF(Estudiantes[[#This Row],[Promedio Anual]]&gt;=$I$4,"APROBADO","REPROBADO")</f>
        <v>APROBADO</v>
      </c>
      <c r="U21" s="135" t="str">
        <f>IF(Estudiantes[[#This Row],[Promedio Anual]]&gt;=$I$4,"NO NECESITA","PENDIENTE")</f>
        <v>NO NECESITA</v>
      </c>
      <c r="V21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1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2" spans="1:23" ht="15.6" x14ac:dyDescent="0.3">
      <c r="A22" s="135" t="s">
        <v>280</v>
      </c>
      <c r="B22" s="135" t="s">
        <v>281</v>
      </c>
      <c r="C22" s="135" t="s">
        <v>282</v>
      </c>
      <c r="D22" s="152">
        <v>209050481</v>
      </c>
      <c r="E22" s="160">
        <f>IF(OR('Asis. Cot IP'!$A$8="",'Asis. Cot IP'!$A$8=0),
   "",
   Principal!$G$2*(1-((_xlfn.XLOOKUP($D22,'Asis. Cot IP'!D:D,'Asis. Cot IP'!E:E)
   +_xlfn.XLOOKUP($D22,'Asis. Cot IP'!D:D,'Asis. Cot IP'!F:F)
   +QUOTIENT(_xlfn.XLOOKUP($D22,'Asis. Cot IP'!D:D,'Asis. Cot IP'!G:G),2))
   /'Asis. Cot IP'!$A$8)))</f>
        <v>5</v>
      </c>
      <c r="F22" s="161">
        <f>IFERROR(_xlfn.XLOOKUP(D22,'Asis. Cot IP'!D:D,'Asis. Cot IP'!FM:FM)/'Asis. Cot IP'!$A$8*Principal!$G$6,"")</f>
        <v>23.255813953488371</v>
      </c>
      <c r="G22" s="160">
        <f>_xlfn.XLOOKUP(D22,Portafolio!D:D,Portafolio!E:E,"")</f>
        <v>0</v>
      </c>
      <c r="H22" s="160" cm="1">
        <f t="array" ref="H22">_xlfn.XLOOKUP(D22,Tareas!D:D,Tareas!F:F + +Tareas!G:G,"")</f>
        <v>8.65</v>
      </c>
      <c r="I22" s="160" cm="1">
        <f t="array" ref="I22">_xlfn.XLOOKUP(D22,Evaluaciones!D:D,Evaluaciones!F:F+Evaluaciones!G:G,"")</f>
        <v>42.08</v>
      </c>
      <c r="J22" s="160">
        <f>_xlfn.XLOOKUP(D22,Proyectos!D:D,Proyectos!E:E,"")</f>
        <v>13.75</v>
      </c>
      <c r="K22" s="162">
        <f t="shared" si="0"/>
        <v>92.735813953488361</v>
      </c>
      <c r="L22" s="163">
        <f>IF(OR('Asis. Cot. IIP'!$A$8="",'Asis. Cot. IIP'!$A$8=0),"",Principal!$G$2*(1-((_xlfn.XLOOKUP($D22,'Asis. Cot. IIP'!D:D,'Asis. Cot. IIP'!E:E)+_xlfn.XLOOKUP($D22,'Asis. Cot. IIP'!D:D,'Asis. Cot. IIP'!F:F)+QUOTIENT(_xlfn.XLOOKUP($D22,'Asis. Cot. IIP'!D:D,'Asis. Cot. IIP'!G:G),2))/'Asis. Cot. IIP'!$A$8)))</f>
        <v>4.2307692307692308</v>
      </c>
      <c r="M22" s="135">
        <f>IFERROR(_xlfn.XLOOKUP(D22,'Asis. Cot. IIP'!D:D,'Asis. Cot. IIP'!FM:FM)/'Asis. Cot. IIP'!$A$8*Principal!$G$6,"")</f>
        <v>19.230769230769234</v>
      </c>
      <c r="N22" s="135">
        <f>_xlfn.XLOOKUP(D22,Portafolio!D:D,Portafolio!F:F,"")</f>
        <v>0</v>
      </c>
      <c r="O22" s="135" cm="1">
        <f t="array" ref="O22">_xlfn.XLOOKUP(D22,Tareas!D:D,Tareas!I:I + Tareas!J:J,"")</f>
        <v>3</v>
      </c>
      <c r="P22" s="135" cm="1">
        <f t="array" ref="P22">_xlfn.XLOOKUP(D22,Evaluaciones!D:D,Evaluaciones!I:I+Evaluaciones!J:J,"")</f>
        <v>43.07</v>
      </c>
      <c r="Q22" s="135">
        <f>_xlfn.XLOOKUP(D22,Proyectos!D:D,Proyectos!F:F,"")</f>
        <v>15</v>
      </c>
      <c r="R22" s="163">
        <f t="shared" si="1"/>
        <v>84.53153846153846</v>
      </c>
      <c r="S22" s="135">
        <f>(Estudiantes[[#This Row],[Promedio I Periodo]]*$J$2%)+(Estudiantes[[#This Row],[Promedio Segundo Peridodo]]*$J$3%)</f>
        <v>88.633676207513417</v>
      </c>
      <c r="T22" s="135" t="str">
        <f>IF(Estudiantes[[#This Row],[Promedio Anual]]&gt;=$I$4,"APROBADO","REPROBADO")</f>
        <v>APROBADO</v>
      </c>
      <c r="U22" s="135" t="str">
        <f>IF(Estudiantes[[#This Row],[Promedio Anual]]&gt;=$I$4,"NO NECESITA","PENDIENTE")</f>
        <v>NO NECESITA</v>
      </c>
      <c r="V22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2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3" spans="1:23" ht="15.6" x14ac:dyDescent="0.3">
      <c r="A23" s="135" t="s">
        <v>283</v>
      </c>
      <c r="B23" s="135" t="s">
        <v>284</v>
      </c>
      <c r="C23" s="135" t="s">
        <v>285</v>
      </c>
      <c r="D23" s="152">
        <v>208910947</v>
      </c>
      <c r="E23" s="160">
        <f>IF(OR('Asis. Cot IP'!$A$8="",'Asis. Cot IP'!$A$8=0),
   "",
   Principal!$G$2*(1-((_xlfn.XLOOKUP($D23,'Asis. Cot IP'!D:D,'Asis. Cot IP'!E:E)
   +_xlfn.XLOOKUP($D23,'Asis. Cot IP'!D:D,'Asis. Cot IP'!F:F)
   +QUOTIENT(_xlfn.XLOOKUP($D23,'Asis. Cot IP'!D:D,'Asis. Cot IP'!G:G),2))
   /'Asis. Cot IP'!$A$8)))</f>
        <v>5</v>
      </c>
      <c r="F23" s="161">
        <f>IFERROR(_xlfn.XLOOKUP(D23,'Asis. Cot IP'!D:D,'Asis. Cot IP'!FM:FM)/'Asis. Cot IP'!$A$8*Principal!$G$6,"")</f>
        <v>25</v>
      </c>
      <c r="G23" s="160">
        <f>_xlfn.XLOOKUP(D23,Portafolio!D:D,Portafolio!E:E,"")</f>
        <v>0</v>
      </c>
      <c r="H23" s="160" cm="1">
        <f t="array" ref="H23">_xlfn.XLOOKUP(D23,Tareas!D:D,Tareas!F:F + +Tareas!G:G,"")</f>
        <v>10</v>
      </c>
      <c r="I23" s="160" cm="1">
        <f t="array" ref="I23">_xlfn.XLOOKUP(D23,Evaluaciones!D:D,Evaluaciones!F:F+Evaluaciones!G:G,"")</f>
        <v>45</v>
      </c>
      <c r="J23" s="160">
        <f>_xlfn.XLOOKUP(D23,Proyectos!D:D,Proyectos!E:E,"")</f>
        <v>15</v>
      </c>
      <c r="K23" s="162">
        <f t="shared" si="0"/>
        <v>100</v>
      </c>
      <c r="L23" s="163">
        <f>IF(OR('Asis. Cot. IIP'!$A$8="",'Asis. Cot. IIP'!$A$8=0),"",Principal!$G$2*(1-((_xlfn.XLOOKUP($D23,'Asis. Cot. IIP'!D:D,'Asis. Cot. IIP'!E:E)+_xlfn.XLOOKUP($D23,'Asis. Cot. IIP'!D:D,'Asis. Cot. IIP'!F:F)+QUOTIENT(_xlfn.XLOOKUP($D23,'Asis. Cot. IIP'!D:D,'Asis. Cot. IIP'!G:G),2))/'Asis. Cot. IIP'!$A$8)))</f>
        <v>5</v>
      </c>
      <c r="M23" s="135">
        <f>IFERROR(_xlfn.XLOOKUP(D23,'Asis. Cot. IIP'!D:D,'Asis. Cot. IIP'!FM:FM)/'Asis. Cot. IIP'!$A$8*Principal!$G$6,"")</f>
        <v>22.115384615384613</v>
      </c>
      <c r="N23" s="135">
        <f>_xlfn.XLOOKUP(D23,Portafolio!D:D,Portafolio!F:F,"")</f>
        <v>0</v>
      </c>
      <c r="O23" s="135" cm="1">
        <f t="array" ref="O23">_xlfn.XLOOKUP(D23,Tareas!D:D,Tareas!I:I + Tareas!J:J,"")</f>
        <v>3</v>
      </c>
      <c r="P23" s="135" cm="1">
        <f t="array" ref="P23">_xlfn.XLOOKUP(D23,Evaluaciones!D:D,Evaluaciones!I:I+Evaluaciones!J:J,"")</f>
        <v>44.61</v>
      </c>
      <c r="Q23" s="135">
        <f>_xlfn.XLOOKUP(D23,Proyectos!D:D,Proyectos!F:F,"")</f>
        <v>15</v>
      </c>
      <c r="R23" s="163">
        <f t="shared" si="1"/>
        <v>89.725384615384613</v>
      </c>
      <c r="S23" s="135">
        <f>(Estudiantes[[#This Row],[Promedio I Periodo]]*$J$2%)+(Estudiantes[[#This Row],[Promedio Segundo Peridodo]]*$J$3%)</f>
        <v>94.862692307692299</v>
      </c>
      <c r="T23" s="135" t="str">
        <f>IF(Estudiantes[[#This Row],[Promedio Anual]]&gt;=$I$4,"APROBADO","REPROBADO")</f>
        <v>APROBADO</v>
      </c>
      <c r="U23" s="135" t="str">
        <f>IF(Estudiantes[[#This Row],[Promedio Anual]]&gt;=$I$4,"NO NECESITA","PENDIENTE")</f>
        <v>NO NECESITA</v>
      </c>
      <c r="V23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3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4" spans="1:23" ht="15.6" x14ac:dyDescent="0.3">
      <c r="A24" s="135" t="s">
        <v>286</v>
      </c>
      <c r="B24" s="135" t="s">
        <v>287</v>
      </c>
      <c r="C24" s="135" t="s">
        <v>288</v>
      </c>
      <c r="D24" s="164">
        <v>209100689</v>
      </c>
      <c r="E24" s="160">
        <f>IF(OR('Asis. Cot IP'!$A$8="",'Asis. Cot IP'!$A$8=0),
   "",
   Principal!$G$2*(1-((_xlfn.XLOOKUP($D24,'Asis. Cot IP'!D:D,'Asis. Cot IP'!E:E)
   +_xlfn.XLOOKUP($D24,'Asis. Cot IP'!D:D,'Asis. Cot IP'!F:F)
   +QUOTIENT(_xlfn.XLOOKUP($D24,'Asis. Cot IP'!D:D,'Asis. Cot IP'!G:G),2))
   /'Asis. Cot IP'!$A$8)))</f>
        <v>4.6511627906976747</v>
      </c>
      <c r="F24" s="161">
        <f>IFERROR(_xlfn.XLOOKUP(D24,'Asis. Cot IP'!D:D,'Asis. Cot IP'!FM:FM)/'Asis. Cot IP'!$A$8*Principal!$G$6,"")</f>
        <v>23.255813953488371</v>
      </c>
      <c r="G24" s="160">
        <f>_xlfn.XLOOKUP(D24,Portafolio!D:D,Portafolio!E:E,"")</f>
        <v>0</v>
      </c>
      <c r="H24" s="160" cm="1">
        <f t="array" ref="H24">_xlfn.XLOOKUP(D24,Tareas!D:D,Tareas!F:F + +Tareas!G:G,"")</f>
        <v>8.1999999999999993</v>
      </c>
      <c r="I24" s="160" cm="1">
        <f t="array" ref="I24">_xlfn.XLOOKUP(D24,Evaluaciones!D:D,Evaluaciones!F:F+Evaluaciones!G:G,"")</f>
        <v>31.439999999999998</v>
      </c>
      <c r="J24" s="160">
        <f>_xlfn.XLOOKUP(D24,Proyectos!D:D,Proyectos!E:E,"")</f>
        <v>10.62</v>
      </c>
      <c r="K24" s="162">
        <f t="shared" si="0"/>
        <v>78.166976744186044</v>
      </c>
      <c r="L24" s="163">
        <f>IF(OR('Asis. Cot. IIP'!$A$8="",'Asis. Cot. IIP'!$A$8=0),"",Principal!$G$2*(1-((_xlfn.XLOOKUP($D24,'Asis. Cot. IIP'!D:D,'Asis. Cot. IIP'!E:E)+_xlfn.XLOOKUP($D24,'Asis. Cot. IIP'!D:D,'Asis. Cot. IIP'!F:F)+QUOTIENT(_xlfn.XLOOKUP($D24,'Asis. Cot. IIP'!D:D,'Asis. Cot. IIP'!G:G),2))/'Asis. Cot. IIP'!$A$8)))</f>
        <v>4.4230769230769234</v>
      </c>
      <c r="M24" s="135">
        <f>IFERROR(_xlfn.XLOOKUP(D24,'Asis. Cot. IIP'!D:D,'Asis. Cot. IIP'!FM:FM)/'Asis. Cot. IIP'!$A$8*Principal!$G$6,"")</f>
        <v>19.230769230769234</v>
      </c>
      <c r="N24" s="135">
        <f>_xlfn.XLOOKUP(D24,Portafolio!D:D,Portafolio!F:F,"")</f>
        <v>0</v>
      </c>
      <c r="O24" s="135" cm="1">
        <f t="array" ref="O24">_xlfn.XLOOKUP(D24,Tareas!D:D,Tareas!I:I + Tareas!J:J,"")</f>
        <v>3</v>
      </c>
      <c r="P24" s="135" cm="1">
        <f t="array" ref="P24">_xlfn.XLOOKUP(D24,Evaluaciones!D:D,Evaluaciones!I:I+Evaluaciones!J:J,"")</f>
        <v>5.7</v>
      </c>
      <c r="Q24" s="135">
        <f>_xlfn.XLOOKUP(D24,Proyectos!D:D,Proyectos!F:F,"")</f>
        <v>15</v>
      </c>
      <c r="R24" s="163">
        <f t="shared" si="1"/>
        <v>47.353846153846156</v>
      </c>
      <c r="S24" s="135">
        <f>(Estudiantes[[#This Row],[Promedio I Periodo]]*$J$2%)+(Estudiantes[[#This Row],[Promedio Segundo Peridodo]]*$J$3%)</f>
        <v>62.760411449016104</v>
      </c>
      <c r="T24" s="135" t="str">
        <f>IF(Estudiantes[[#This Row],[Promedio Anual]]&gt;=$I$4,"APROBADO","REPROBADO")</f>
        <v>REPROBADO</v>
      </c>
      <c r="U24" s="135" t="str">
        <f>IF(Estudiantes[[#This Row],[Promedio Anual]]&gt;=$I$4,"NO NECESITA","PENDIENTE")</f>
        <v>PENDIENTE</v>
      </c>
      <c r="V24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PENDIENTE</v>
      </c>
      <c r="W24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REPROBADO</v>
      </c>
    </row>
    <row r="25" spans="1:23" ht="15.6" x14ac:dyDescent="0.3">
      <c r="A25" s="135" t="s">
        <v>289</v>
      </c>
      <c r="B25" s="135" t="s">
        <v>290</v>
      </c>
      <c r="C25" s="135" t="s">
        <v>291</v>
      </c>
      <c r="D25" s="152">
        <v>209060003</v>
      </c>
      <c r="E25" s="160">
        <f>IF(OR('Asis. Cot IP'!$A$8="",'Asis. Cot IP'!$A$8=0),
   "",
   Principal!$G$2*(1-((_xlfn.XLOOKUP($D25,'Asis. Cot IP'!D:D,'Asis. Cot IP'!E:E)
   +_xlfn.XLOOKUP($D25,'Asis. Cot IP'!D:D,'Asis. Cot IP'!F:F)
   +QUOTIENT(_xlfn.XLOOKUP($D25,'Asis. Cot IP'!D:D,'Asis. Cot IP'!G:G),2))
   /'Asis. Cot IP'!$A$8)))</f>
        <v>5</v>
      </c>
      <c r="F25" s="161">
        <f>IFERROR(_xlfn.XLOOKUP(D25,'Asis. Cot IP'!D:D,'Asis. Cot IP'!FM:FM)/'Asis. Cot IP'!$A$8*Principal!$G$6,"")</f>
        <v>25</v>
      </c>
      <c r="G25" s="160">
        <f>_xlfn.XLOOKUP(D25,Portafolio!D:D,Portafolio!E:E,"")</f>
        <v>0</v>
      </c>
      <c r="H25" s="160" cm="1">
        <f t="array" ref="H25">_xlfn.XLOOKUP(D25,Tareas!D:D,Tareas!F:F + +Tareas!G:G,"")</f>
        <v>9.2800000000000011</v>
      </c>
      <c r="I25" s="160" cm="1">
        <f t="array" ref="I25">_xlfn.XLOOKUP(D25,Evaluaciones!D:D,Evaluaciones!F:F+Evaluaciones!G:G,"")</f>
        <v>43.620000000000005</v>
      </c>
      <c r="J25" s="160">
        <f>_xlfn.XLOOKUP(D25,Proyectos!D:D,Proyectos!E:E,"")</f>
        <v>14.37</v>
      </c>
      <c r="K25" s="162">
        <f t="shared" si="0"/>
        <v>97.27000000000001</v>
      </c>
      <c r="L25" s="163">
        <f>IF(OR('Asis. Cot. IIP'!$A$8="",'Asis. Cot. IIP'!$A$8=0),"",Principal!$G$2*(1-((_xlfn.XLOOKUP($D25,'Asis. Cot. IIP'!D:D,'Asis. Cot. IIP'!E:E)+_xlfn.XLOOKUP($D25,'Asis. Cot. IIP'!D:D,'Asis. Cot. IIP'!F:F)+QUOTIENT(_xlfn.XLOOKUP($D25,'Asis. Cot. IIP'!D:D,'Asis. Cot. IIP'!G:G),2))/'Asis. Cot. IIP'!$A$8)))</f>
        <v>5</v>
      </c>
      <c r="M25" s="135">
        <f>IFERROR(_xlfn.XLOOKUP(D25,'Asis. Cot. IIP'!D:D,'Asis. Cot. IIP'!FM:FM)/'Asis. Cot. IIP'!$A$8*Principal!$G$6,"")</f>
        <v>22.115384615384613</v>
      </c>
      <c r="N25" s="135">
        <f>_xlfn.XLOOKUP(D25,Portafolio!D:D,Portafolio!F:F,"")</f>
        <v>0</v>
      </c>
      <c r="O25" s="135" cm="1">
        <f t="array" ref="O25">_xlfn.XLOOKUP(D25,Tareas!D:D,Tareas!I:I + Tareas!J:J,"")</f>
        <v>3</v>
      </c>
      <c r="P25" s="135" cm="1">
        <f t="array" ref="P25">_xlfn.XLOOKUP(D25,Evaluaciones!D:D,Evaluaciones!I:I+Evaluaciones!J:J,"")</f>
        <v>43.84</v>
      </c>
      <c r="Q25" s="135">
        <f>_xlfn.XLOOKUP(D25,Proyectos!D:D,Proyectos!F:F,"")</f>
        <v>15</v>
      </c>
      <c r="R25" s="163">
        <f t="shared" si="1"/>
        <v>88.955384615384617</v>
      </c>
      <c r="S25" s="135">
        <f>(Estudiantes[[#This Row],[Promedio I Periodo]]*$J$2%)+(Estudiantes[[#This Row],[Promedio Segundo Peridodo]]*$J$3%)</f>
        <v>93.112692307692313</v>
      </c>
      <c r="T25" s="135" t="str">
        <f>IF(Estudiantes[[#This Row],[Promedio Anual]]&gt;=$I$4,"APROBADO","REPROBADO")</f>
        <v>APROBADO</v>
      </c>
      <c r="U25" s="135" t="str">
        <f>IF(Estudiantes[[#This Row],[Promedio Anual]]&gt;=$I$4,"NO NECESITA","PENDIENTE")</f>
        <v>NO NECESITA</v>
      </c>
      <c r="V25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5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6" spans="1:23" ht="15.6" x14ac:dyDescent="0.3">
      <c r="A26" s="135" t="s">
        <v>292</v>
      </c>
      <c r="B26" s="135" t="s">
        <v>293</v>
      </c>
      <c r="C26" s="135" t="s">
        <v>294</v>
      </c>
      <c r="D26" s="152">
        <v>208980531</v>
      </c>
      <c r="E26" s="160">
        <f>IF(OR('Asis. Cot IP'!$A$8="",'Asis. Cot IP'!$A$8=0),
   "",
   Principal!$G$2*(1-((_xlfn.XLOOKUP($D26,'Asis. Cot IP'!D:D,'Asis. Cot IP'!E:E)
   +_xlfn.XLOOKUP($D26,'Asis. Cot IP'!D:D,'Asis. Cot IP'!F:F)
   +QUOTIENT(_xlfn.XLOOKUP($D26,'Asis. Cot IP'!D:D,'Asis. Cot IP'!G:G),2))
   /'Asis. Cot IP'!$A$8)))</f>
        <v>5</v>
      </c>
      <c r="F26" s="161">
        <f>IFERROR(_xlfn.XLOOKUP(D26,'Asis. Cot IP'!D:D,'Asis. Cot IP'!FM:FM)/'Asis. Cot IP'!$A$8*Principal!$G$6,"")</f>
        <v>25</v>
      </c>
      <c r="G26" s="160">
        <f>_xlfn.XLOOKUP(D26,Portafolio!D:D,Portafolio!E:E,"")</f>
        <v>0</v>
      </c>
      <c r="H26" s="160" cm="1">
        <f t="array" ref="H26">_xlfn.XLOOKUP(D26,Tareas!D:D,Tareas!F:F + +Tareas!G:G,"")</f>
        <v>10</v>
      </c>
      <c r="I26" s="160" cm="1">
        <f t="array" ref="I26">_xlfn.XLOOKUP(D26,Evaluaciones!D:D,Evaluaciones!F:F+Evaluaciones!G:G,"")</f>
        <v>42.870000000000005</v>
      </c>
      <c r="J26" s="160">
        <f>_xlfn.XLOOKUP(D26,Proyectos!D:D,Proyectos!E:E,"")</f>
        <v>14.37</v>
      </c>
      <c r="K26" s="162">
        <f t="shared" si="0"/>
        <v>97.240000000000009</v>
      </c>
      <c r="L26" s="163">
        <f>IF(OR('Asis. Cot. IIP'!$A$8="",'Asis. Cot. IIP'!$A$8=0),"",Principal!$G$2*(1-((_xlfn.XLOOKUP($D26,'Asis. Cot. IIP'!D:D,'Asis. Cot. IIP'!E:E)+_xlfn.XLOOKUP($D26,'Asis. Cot. IIP'!D:D,'Asis. Cot. IIP'!F:F)+QUOTIENT(_xlfn.XLOOKUP($D26,'Asis. Cot. IIP'!D:D,'Asis. Cot. IIP'!G:G),2))/'Asis. Cot. IIP'!$A$8)))</f>
        <v>5</v>
      </c>
      <c r="M26" s="135">
        <f>IFERROR(_xlfn.XLOOKUP(D26,'Asis. Cot. IIP'!D:D,'Asis. Cot. IIP'!FM:FM)/'Asis. Cot. IIP'!$A$8*Principal!$G$6,"")</f>
        <v>22.115384615384613</v>
      </c>
      <c r="N26" s="135">
        <f>_xlfn.XLOOKUP(D26,Portafolio!D:D,Portafolio!F:F,"")</f>
        <v>0</v>
      </c>
      <c r="O26" s="135" cm="1">
        <f t="array" ref="O26">_xlfn.XLOOKUP(D26,Tareas!D:D,Tareas!I:I + Tareas!J:J,"")</f>
        <v>3</v>
      </c>
      <c r="P26" s="135" cm="1">
        <f t="array" ref="P26">_xlfn.XLOOKUP(D26,Evaluaciones!D:D,Evaluaciones!I:I+Evaluaciones!J:J,"")</f>
        <v>44.230000000000004</v>
      </c>
      <c r="Q26" s="135">
        <f>_xlfn.XLOOKUP(D26,Proyectos!D:D,Proyectos!F:F,"")</f>
        <v>15</v>
      </c>
      <c r="R26" s="163">
        <f t="shared" si="1"/>
        <v>89.345384615384617</v>
      </c>
      <c r="S26" s="135">
        <f>(Estudiantes[[#This Row],[Promedio I Periodo]]*$J$2%)+(Estudiantes[[#This Row],[Promedio Segundo Peridodo]]*$J$3%)</f>
        <v>93.292692307692306</v>
      </c>
      <c r="T26" s="135" t="str">
        <f>IF(Estudiantes[[#This Row],[Promedio Anual]]&gt;=$I$4,"APROBADO","REPROBADO")</f>
        <v>APROBADO</v>
      </c>
      <c r="U26" s="135" t="str">
        <f>IF(Estudiantes[[#This Row],[Promedio Anual]]&gt;=$I$4,"NO NECESITA","PENDIENTE")</f>
        <v>NO NECESITA</v>
      </c>
      <c r="V26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6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7" spans="1:23" ht="15.6" x14ac:dyDescent="0.3">
      <c r="A27" s="135" t="s">
        <v>295</v>
      </c>
      <c r="B27" s="135" t="s">
        <v>296</v>
      </c>
      <c r="C27" s="135" t="s">
        <v>297</v>
      </c>
      <c r="D27" s="152">
        <v>208990532</v>
      </c>
      <c r="E27" s="160">
        <f>IF(OR('Asis. Cot IP'!$A$8="",'Asis. Cot IP'!$A$8=0),
   "",
   Principal!$G$2*(1-((_xlfn.XLOOKUP($D27,'Asis. Cot IP'!D:D,'Asis. Cot IP'!E:E)
   +_xlfn.XLOOKUP($D27,'Asis. Cot IP'!D:D,'Asis. Cot IP'!F:F)
   +QUOTIENT(_xlfn.XLOOKUP($D27,'Asis. Cot IP'!D:D,'Asis. Cot IP'!G:G),2))
   /'Asis. Cot IP'!$A$8)))</f>
        <v>5</v>
      </c>
      <c r="F27" s="161">
        <f>IFERROR(_xlfn.XLOOKUP(D27,'Asis. Cot IP'!D:D,'Asis. Cot IP'!FM:FM)/'Asis. Cot IP'!$A$8*Principal!$G$6,"")</f>
        <v>25</v>
      </c>
      <c r="G27" s="160">
        <f>_xlfn.XLOOKUP(D27,Portafolio!D:D,Portafolio!E:E,"")</f>
        <v>0</v>
      </c>
      <c r="H27" s="160" cm="1">
        <f t="array" ref="H27">_xlfn.XLOOKUP(D27,Tareas!D:D,Tareas!F:F + +Tareas!G:G,"")</f>
        <v>10</v>
      </c>
      <c r="I27" s="160" cm="1">
        <f t="array" ref="I27">_xlfn.XLOOKUP(D27,Evaluaciones!D:D,Evaluaciones!F:F+Evaluaciones!G:G,"")</f>
        <v>45</v>
      </c>
      <c r="J27" s="160">
        <f>_xlfn.XLOOKUP(D27,Proyectos!D:D,Proyectos!E:E,"")</f>
        <v>15</v>
      </c>
      <c r="K27" s="162">
        <f t="shared" si="0"/>
        <v>100</v>
      </c>
      <c r="L27" s="163">
        <f>IF(OR('Asis. Cot. IIP'!$A$8="",'Asis. Cot. IIP'!$A$8=0),"",Principal!$G$2*(1-((_xlfn.XLOOKUP($D27,'Asis. Cot. IIP'!D:D,'Asis. Cot. IIP'!E:E)+_xlfn.XLOOKUP($D27,'Asis. Cot. IIP'!D:D,'Asis. Cot. IIP'!F:F)+QUOTIENT(_xlfn.XLOOKUP($D27,'Asis. Cot. IIP'!D:D,'Asis. Cot. IIP'!G:G),2))/'Asis. Cot. IIP'!$A$8)))</f>
        <v>4.4230769230769234</v>
      </c>
      <c r="M27" s="135">
        <f>IFERROR(_xlfn.XLOOKUP(D27,'Asis. Cot. IIP'!D:D,'Asis. Cot. IIP'!FM:FM)/'Asis. Cot. IIP'!$A$8*Principal!$G$6,"")</f>
        <v>19.230769230769234</v>
      </c>
      <c r="N27" s="135">
        <f>_xlfn.XLOOKUP(D27,Portafolio!D:D,Portafolio!F:F,"")</f>
        <v>0</v>
      </c>
      <c r="O27" s="135" cm="1">
        <f t="array" ref="O27">_xlfn.XLOOKUP(D27,Tareas!D:D,Tareas!I:I + Tareas!J:J,"")</f>
        <v>3</v>
      </c>
      <c r="P27" s="135" cm="1">
        <f t="array" ref="P27">_xlfn.XLOOKUP(D27,Evaluaciones!D:D,Evaluaciones!I:I+Evaluaciones!J:J,"")</f>
        <v>44.61</v>
      </c>
      <c r="Q27" s="135">
        <f>_xlfn.XLOOKUP(D27,Proyectos!D:D,Proyectos!F:F,"")</f>
        <v>15</v>
      </c>
      <c r="R27" s="163">
        <f t="shared" si="1"/>
        <v>86.26384615384616</v>
      </c>
      <c r="S27" s="135">
        <f>(Estudiantes[[#This Row],[Promedio I Periodo]]*$J$2%)+(Estudiantes[[#This Row],[Promedio Segundo Peridodo]]*$J$3%)</f>
        <v>93.131923076923073</v>
      </c>
      <c r="T27" s="135" t="str">
        <f>IF(Estudiantes[[#This Row],[Promedio Anual]]&gt;=$I$4,"APROBADO","REPROBADO")</f>
        <v>APROBADO</v>
      </c>
      <c r="U27" s="135" t="str">
        <f>IF(Estudiantes[[#This Row],[Promedio Anual]]&gt;=$I$4,"NO NECESITA","PENDIENTE")</f>
        <v>NO NECESITA</v>
      </c>
      <c r="V27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7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8" spans="1:23" ht="15.6" x14ac:dyDescent="0.3">
      <c r="A28" s="135" t="s">
        <v>298</v>
      </c>
      <c r="B28" s="135" t="s">
        <v>292</v>
      </c>
      <c r="C28" s="135" t="s">
        <v>299</v>
      </c>
      <c r="D28" s="152">
        <v>209040294</v>
      </c>
      <c r="E28" s="160">
        <f>IF(OR('Asis. Cot IP'!$A$8="",'Asis. Cot IP'!$A$8=0),
   "",
   Principal!$G$2*(1-((_xlfn.XLOOKUP($D28,'Asis. Cot IP'!D:D,'Asis. Cot IP'!E:E)
   +_xlfn.XLOOKUP($D28,'Asis. Cot IP'!D:D,'Asis. Cot IP'!F:F)
   +QUOTIENT(_xlfn.XLOOKUP($D28,'Asis. Cot IP'!D:D,'Asis. Cot IP'!G:G),2))
   /'Asis. Cot IP'!$A$8)))</f>
        <v>5</v>
      </c>
      <c r="F28" s="161">
        <f>IFERROR(_xlfn.XLOOKUP(D28,'Asis. Cot IP'!D:D,'Asis. Cot IP'!FM:FM)/'Asis. Cot IP'!$A$8*Principal!$G$6,"")</f>
        <v>25</v>
      </c>
      <c r="G28" s="160">
        <f>_xlfn.XLOOKUP(D28,Portafolio!D:D,Portafolio!E:E,"")</f>
        <v>0</v>
      </c>
      <c r="H28" s="160" cm="1">
        <f t="array" ref="H28">_xlfn.XLOOKUP(D28,Tareas!D:D,Tareas!F:F + +Tareas!G:G,"")</f>
        <v>9.58</v>
      </c>
      <c r="I28" s="160" cm="1">
        <f t="array" ref="I28">_xlfn.XLOOKUP(D28,Evaluaciones!D:D,Evaluaciones!F:F+Evaluaciones!G:G,"")</f>
        <v>38.97</v>
      </c>
      <c r="J28" s="160">
        <f>_xlfn.XLOOKUP(D28,Proyectos!D:D,Proyectos!E:E,"")</f>
        <v>14.8</v>
      </c>
      <c r="K28" s="162">
        <f t="shared" si="0"/>
        <v>93.35</v>
      </c>
      <c r="L28" s="163">
        <f>IF(OR('Asis. Cot. IIP'!$A$8="",'Asis. Cot. IIP'!$A$8=0),"",Principal!$G$2*(1-((_xlfn.XLOOKUP($D28,'Asis. Cot. IIP'!D:D,'Asis. Cot. IIP'!E:E)+_xlfn.XLOOKUP($D28,'Asis. Cot. IIP'!D:D,'Asis. Cot. IIP'!F:F)+QUOTIENT(_xlfn.XLOOKUP($D28,'Asis. Cot. IIP'!D:D,'Asis. Cot. IIP'!G:G),2))/'Asis. Cot. IIP'!$A$8)))</f>
        <v>5</v>
      </c>
      <c r="M28" s="135">
        <f>IFERROR(_xlfn.XLOOKUP(D28,'Asis. Cot. IIP'!D:D,'Asis. Cot. IIP'!FM:FM)/'Asis. Cot. IIP'!$A$8*Principal!$G$6,"")</f>
        <v>22.115384615384613</v>
      </c>
      <c r="N28" s="135">
        <f>_xlfn.XLOOKUP(D28,Portafolio!D:D,Portafolio!F:F,"")</f>
        <v>0</v>
      </c>
      <c r="O28" s="135" cm="1">
        <f t="array" ref="O28">_xlfn.XLOOKUP(D28,Tareas!D:D,Tareas!I:I + Tareas!J:J,"")</f>
        <v>3</v>
      </c>
      <c r="P28" s="135" cm="1">
        <f t="array" ref="P28">_xlfn.XLOOKUP(D28,Evaluaciones!D:D,Evaluaciones!I:I+Evaluaciones!J:J,"")</f>
        <v>43.46</v>
      </c>
      <c r="Q28" s="135">
        <f>_xlfn.XLOOKUP(D28,Proyectos!D:D,Proyectos!F:F,"")</f>
        <v>15</v>
      </c>
      <c r="R28" s="163">
        <f t="shared" si="1"/>
        <v>88.575384615384621</v>
      </c>
      <c r="S28" s="135">
        <f>(Estudiantes[[#This Row],[Promedio I Periodo]]*$J$2%)+(Estudiantes[[#This Row],[Promedio Segundo Peridodo]]*$J$3%)</f>
        <v>90.962692307692308</v>
      </c>
      <c r="T28" s="135" t="str">
        <f>IF(Estudiantes[[#This Row],[Promedio Anual]]&gt;=$I$4,"APROBADO","REPROBADO")</f>
        <v>APROBADO</v>
      </c>
      <c r="U28" s="135" t="str">
        <f>IF(Estudiantes[[#This Row],[Promedio Anual]]&gt;=$I$4,"NO NECESITA","PENDIENTE")</f>
        <v>NO NECESITA</v>
      </c>
      <c r="V28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8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29" spans="1:23" ht="15.6" x14ac:dyDescent="0.3">
      <c r="A29" s="135" t="s">
        <v>266</v>
      </c>
      <c r="B29" s="135" t="s">
        <v>300</v>
      </c>
      <c r="C29" s="135" t="s">
        <v>301</v>
      </c>
      <c r="D29" s="152">
        <v>209020129</v>
      </c>
      <c r="E29" s="160">
        <f>IF(OR('Asis. Cot IP'!$A$8="",'Asis. Cot IP'!$A$8=0),
   "",
   Principal!$G$2*(1-((_xlfn.XLOOKUP($D29,'Asis. Cot IP'!D:D,'Asis. Cot IP'!E:E)
   +_xlfn.XLOOKUP($D29,'Asis. Cot IP'!D:D,'Asis. Cot IP'!F:F)
   +QUOTIENT(_xlfn.XLOOKUP($D29,'Asis. Cot IP'!D:D,'Asis. Cot IP'!G:G),2))
   /'Asis. Cot IP'!$A$8)))</f>
        <v>5</v>
      </c>
      <c r="F29" s="161">
        <f>IFERROR(_xlfn.XLOOKUP(D29,'Asis. Cot IP'!D:D,'Asis. Cot IP'!FM:FM)/'Asis. Cot IP'!$A$8*Principal!$G$6,"")</f>
        <v>25</v>
      </c>
      <c r="G29" s="160">
        <f>_xlfn.XLOOKUP(D29,Portafolio!D:D,Portafolio!E:E,"")</f>
        <v>0</v>
      </c>
      <c r="H29" s="160" cm="1">
        <f t="array" ref="H29">_xlfn.XLOOKUP(D29,Tareas!D:D,Tareas!F:F + +Tareas!G:G,"")</f>
        <v>8.86</v>
      </c>
      <c r="I29" s="160" cm="1">
        <f t="array" ref="I29">_xlfn.XLOOKUP(D29,Evaluaciones!D:D,Evaluaciones!F:F+Evaluaciones!G:G,"")</f>
        <v>40.72</v>
      </c>
      <c r="J29" s="160">
        <f>_xlfn.XLOOKUP(D29,Proyectos!D:D,Proyectos!E:E,"")</f>
        <v>14.75</v>
      </c>
      <c r="K29" s="162">
        <f t="shared" si="0"/>
        <v>94.33</v>
      </c>
      <c r="L29" s="163">
        <f>IF(OR('Asis. Cot. IIP'!$A$8="",'Asis. Cot. IIP'!$A$8=0),"",Principal!$G$2*(1-((_xlfn.XLOOKUP($D29,'Asis. Cot. IIP'!D:D,'Asis. Cot. IIP'!E:E)+_xlfn.XLOOKUP($D29,'Asis. Cot. IIP'!D:D,'Asis. Cot. IIP'!F:F)+QUOTIENT(_xlfn.XLOOKUP($D29,'Asis. Cot. IIP'!D:D,'Asis. Cot. IIP'!G:G),2))/'Asis. Cot. IIP'!$A$8)))</f>
        <v>5</v>
      </c>
      <c r="M29" s="135">
        <f>IFERROR(_xlfn.XLOOKUP(D29,'Asis. Cot. IIP'!D:D,'Asis. Cot. IIP'!FM:FM)/'Asis. Cot. IIP'!$A$8*Principal!$G$6,"")</f>
        <v>22.115384615384613</v>
      </c>
      <c r="N29" s="135">
        <f>_xlfn.XLOOKUP(D29,Portafolio!D:D,Portafolio!F:F,"")</f>
        <v>0</v>
      </c>
      <c r="O29" s="135" cm="1">
        <f t="array" ref="O29">_xlfn.XLOOKUP(D29,Tareas!D:D,Tareas!I:I + Tareas!J:J,"")</f>
        <v>3</v>
      </c>
      <c r="P29" s="135" cm="1">
        <f t="array" ref="P29">_xlfn.XLOOKUP(D29,Evaluaciones!D:D,Evaluaciones!I:I+Evaluaciones!J:J,"")</f>
        <v>43.46</v>
      </c>
      <c r="Q29" s="135">
        <f>_xlfn.XLOOKUP(D29,Proyectos!D:D,Proyectos!F:F,"")</f>
        <v>15</v>
      </c>
      <c r="R29" s="163">
        <f t="shared" si="1"/>
        <v>88.575384615384621</v>
      </c>
      <c r="S29" s="135">
        <f>(Estudiantes[[#This Row],[Promedio I Periodo]]*$J$2%)+(Estudiantes[[#This Row],[Promedio Segundo Peridodo]]*$J$3%)</f>
        <v>91.452692307692303</v>
      </c>
      <c r="T29" s="135" t="str">
        <f>IF(Estudiantes[[#This Row],[Promedio Anual]]&gt;=$I$4,"APROBADO","REPROBADO")</f>
        <v>APROBADO</v>
      </c>
      <c r="U29" s="135" t="str">
        <f>IF(Estudiantes[[#This Row],[Promedio Anual]]&gt;=$I$4,"NO NECESITA","PENDIENTE")</f>
        <v>NO NECESITA</v>
      </c>
      <c r="V29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29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30" spans="1:23" ht="15.6" x14ac:dyDescent="0.3">
      <c r="A30" s="135" t="s">
        <v>287</v>
      </c>
      <c r="B30" s="135" t="s">
        <v>302</v>
      </c>
      <c r="C30" s="135" t="s">
        <v>303</v>
      </c>
      <c r="D30" s="152">
        <v>208980881</v>
      </c>
      <c r="E30" s="160">
        <f>IF(OR('Asis. Cot IP'!$A$8="",'Asis. Cot IP'!$A$8=0),
   "",
   Principal!$G$2*(1-((_xlfn.XLOOKUP($D30,'Asis. Cot IP'!D:D,'Asis. Cot IP'!E:E)
   +_xlfn.XLOOKUP($D30,'Asis. Cot IP'!D:D,'Asis. Cot IP'!F:F)
   +QUOTIENT(_xlfn.XLOOKUP($D30,'Asis. Cot IP'!D:D,'Asis. Cot IP'!G:G),2))
   /'Asis. Cot IP'!$A$8)))</f>
        <v>5</v>
      </c>
      <c r="F30" s="161">
        <f>IFERROR(_xlfn.XLOOKUP(D30,'Asis. Cot IP'!D:D,'Asis. Cot IP'!FM:FM)/'Asis. Cot IP'!$A$8*Principal!$G$6,"")</f>
        <v>25</v>
      </c>
      <c r="G30" s="160">
        <f>_xlfn.XLOOKUP(D30,Portafolio!D:D,Portafolio!E:E,"")</f>
        <v>0</v>
      </c>
      <c r="H30" s="160" cm="1">
        <f t="array" ref="H30">_xlfn.XLOOKUP(D30,Tareas!D:D,Tareas!F:F + +Tareas!G:G,"")</f>
        <v>9.7899999999999991</v>
      </c>
      <c r="I30" s="160" cm="1">
        <f t="array" ref="I30">_xlfn.XLOOKUP(D30,Evaluaciones!D:D,Evaluaciones!F:F+Evaluaciones!G:G,"")</f>
        <v>42.71</v>
      </c>
      <c r="J30" s="160">
        <f>_xlfn.XLOOKUP(D30,Proyectos!D:D,Proyectos!E:E,"")</f>
        <v>15</v>
      </c>
      <c r="K30" s="162">
        <f t="shared" si="0"/>
        <v>97.5</v>
      </c>
      <c r="L30" s="163">
        <f>IF(OR('Asis. Cot. IIP'!$A$8="",'Asis. Cot. IIP'!$A$8=0),"",Principal!$G$2*(1-((_xlfn.XLOOKUP($D30,'Asis. Cot. IIP'!D:D,'Asis. Cot. IIP'!E:E)+_xlfn.XLOOKUP($D30,'Asis. Cot. IIP'!D:D,'Asis. Cot. IIP'!F:F)+QUOTIENT(_xlfn.XLOOKUP($D30,'Asis. Cot. IIP'!D:D,'Asis. Cot. IIP'!G:G),2))/'Asis. Cot. IIP'!$A$8)))</f>
        <v>5</v>
      </c>
      <c r="M30" s="135">
        <f>IFERROR(_xlfn.XLOOKUP(D30,'Asis. Cot. IIP'!D:D,'Asis. Cot. IIP'!FM:FM)/'Asis. Cot. IIP'!$A$8*Principal!$G$6,"")</f>
        <v>22.115384615384613</v>
      </c>
      <c r="N30" s="135">
        <f>_xlfn.XLOOKUP(D30,Portafolio!D:D,Portafolio!F:F,"")</f>
        <v>0</v>
      </c>
      <c r="O30" s="135" cm="1">
        <f t="array" ref="O30">_xlfn.XLOOKUP(D30,Tareas!D:D,Tareas!I:I + Tareas!J:J,"")</f>
        <v>3</v>
      </c>
      <c r="P30" s="135" cm="1">
        <f t="array" ref="P30">_xlfn.XLOOKUP(D30,Evaluaciones!D:D,Evaluaciones!I:I+Evaluaciones!J:J,"")</f>
        <v>44.230000000000004</v>
      </c>
      <c r="Q30" s="135">
        <f>_xlfn.XLOOKUP(D30,Proyectos!D:D,Proyectos!F:F,"")</f>
        <v>15</v>
      </c>
      <c r="R30" s="163">
        <f t="shared" si="1"/>
        <v>89.345384615384617</v>
      </c>
      <c r="S30" s="135">
        <f>(Estudiantes[[#This Row],[Promedio I Periodo]]*$J$2%)+(Estudiantes[[#This Row],[Promedio Segundo Peridodo]]*$J$3%)</f>
        <v>93.422692307692301</v>
      </c>
      <c r="T30" s="135" t="str">
        <f>IF(Estudiantes[[#This Row],[Promedio Anual]]&gt;=$I$4,"APROBADO","REPROBADO")</f>
        <v>APROBADO</v>
      </c>
      <c r="U30" s="135" t="str">
        <f>IF(Estudiantes[[#This Row],[Promedio Anual]]&gt;=$I$4,"NO NECESITA","PENDIENTE")</f>
        <v>NO NECESITA</v>
      </c>
      <c r="V30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30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  <row r="31" spans="1:23" ht="15.6" x14ac:dyDescent="0.3">
      <c r="A31" s="135" t="s">
        <v>304</v>
      </c>
      <c r="B31" s="135" t="s">
        <v>295</v>
      </c>
      <c r="C31" s="135" t="s">
        <v>305</v>
      </c>
      <c r="D31" s="152">
        <v>120280412</v>
      </c>
      <c r="E31" s="160">
        <f>IF(OR('Asis. Cot IP'!$A$8="",'Asis. Cot IP'!$A$8=0),
   "",
   Principal!$G$2*(1-((_xlfn.XLOOKUP($D31,'Asis. Cot IP'!D:D,'Asis. Cot IP'!E:E)
   +_xlfn.XLOOKUP($D31,'Asis. Cot IP'!D:D,'Asis. Cot IP'!F:F)
   +QUOTIENT(_xlfn.XLOOKUP($D31,'Asis. Cot IP'!D:D,'Asis. Cot IP'!G:G),2))
   /'Asis. Cot IP'!$A$8)))</f>
        <v>4.6511627906976747</v>
      </c>
      <c r="F31" s="161">
        <f>IFERROR(_xlfn.XLOOKUP(D31,'Asis. Cot IP'!D:D,'Asis. Cot IP'!FM:FM)/'Asis. Cot IP'!$A$8*Principal!$G$6,"")</f>
        <v>21.511627906976745</v>
      </c>
      <c r="G31" s="160">
        <f>_xlfn.XLOOKUP(D31,Portafolio!D:D,Portafolio!E:E,"")</f>
        <v>0</v>
      </c>
      <c r="H31" s="160" cm="1">
        <f t="array" ref="H31">_xlfn.XLOOKUP(D31,Tareas!D:D,Tareas!F:F + +Tareas!G:G,"")</f>
        <v>8.92</v>
      </c>
      <c r="I31" s="160" cm="1">
        <f t="array" ref="I31">_xlfn.XLOOKUP(D31,Evaluaciones!D:D,Evaluaciones!F:F+Evaluaciones!G:G,"")</f>
        <v>41</v>
      </c>
      <c r="J31" s="160">
        <f>_xlfn.XLOOKUP(D31,Proyectos!D:D,Proyectos!E:E,"")</f>
        <v>14.37</v>
      </c>
      <c r="K31" s="162">
        <f t="shared" si="0"/>
        <v>90.45279069767443</v>
      </c>
      <c r="L31" s="163">
        <f>IF(OR('Asis. Cot. IIP'!$A$8="",'Asis. Cot. IIP'!$A$8=0),"",Principal!$G$2*(1-((_xlfn.XLOOKUP($D31,'Asis. Cot. IIP'!D:D,'Asis. Cot. IIP'!E:E)+_xlfn.XLOOKUP($D31,'Asis. Cot. IIP'!D:D,'Asis. Cot. IIP'!F:F)+QUOTIENT(_xlfn.XLOOKUP($D31,'Asis. Cot. IIP'!D:D,'Asis. Cot. IIP'!G:G),2))/'Asis. Cot. IIP'!$A$8)))</f>
        <v>4.6153846153846159</v>
      </c>
      <c r="M31" s="135">
        <f>IFERROR(_xlfn.XLOOKUP(D31,'Asis. Cot. IIP'!D:D,'Asis. Cot. IIP'!FM:FM)/'Asis. Cot. IIP'!$A$8*Principal!$G$6,"")</f>
        <v>16.346153846153847</v>
      </c>
      <c r="N31" s="135">
        <f>_xlfn.XLOOKUP(D31,Portafolio!D:D,Portafolio!F:F,"")</f>
        <v>0</v>
      </c>
      <c r="O31" s="135" cm="1">
        <f t="array" ref="O31">_xlfn.XLOOKUP(D31,Tareas!D:D,Tareas!I:I + Tareas!J:J,"")</f>
        <v>3</v>
      </c>
      <c r="P31" s="135" cm="1">
        <f t="array" ref="P31">_xlfn.XLOOKUP(D31,Evaluaciones!D:D,Evaluaciones!I:I+Evaluaciones!J:J,"")</f>
        <v>43.07</v>
      </c>
      <c r="Q31" s="135">
        <f>_xlfn.XLOOKUP(D31,Proyectos!D:D,Proyectos!F:F,"")</f>
        <v>15</v>
      </c>
      <c r="R31" s="163">
        <f t="shared" si="1"/>
        <v>82.03153846153846</v>
      </c>
      <c r="S31" s="135">
        <f>(Estudiantes[[#This Row],[Promedio I Periodo]]*$J$2%)+(Estudiantes[[#This Row],[Promedio Segundo Peridodo]]*$J$3%)</f>
        <v>86.242164579606452</v>
      </c>
      <c r="T31" s="135" t="str">
        <f>IF(Estudiantes[[#This Row],[Promedio Anual]]&gt;=$I$4,"APROBADO","REPROBADO")</f>
        <v>APROBADO</v>
      </c>
      <c r="U31" s="135" t="str">
        <f>IF(Estudiantes[[#This Row],[Promedio Anual]]&gt;=$I$4,"NO NECESITA","PENDIENTE")</f>
        <v>NO NECESITA</v>
      </c>
      <c r="V31" s="135" t="str">
        <f>IF(Estudiantes[[#This Row],[Promedio Anual]]&gt;=70,
    "NO NECESITA",
    IF(AND(ISNUMBER(Estudiantes[[#This Row],[Estrategia de Promoción I]]),
         Estudiantes[[#This Row],[Estrategia de Promoción I]]&gt;=70),
        "NO NECESITÓ",
        "PENDIENTE"))</f>
        <v>NO NECESITA</v>
      </c>
      <c r="W31" s="135" t="str">
        <f>IF(Estudiantes[[#This Row],[Promedio Anual]]="","",
   IF(Estudiantes[[#This Row],[Promedio Anual]]&gt;=$I$4,"NO NECESITA",
      IF(MAX(Estudiantes[[#This Row],[Estrategia de Promoción I]],Estudiantes[[#This Row],[Estrategia de Promoción II]])&gt;=$I$4,"APROBADO",
         "REPROBADO")))</f>
        <v>NO NECESITA</v>
      </c>
    </row>
  </sheetData>
  <mergeCells count="24">
    <mergeCell ref="H3:I3"/>
    <mergeCell ref="J3:K3"/>
    <mergeCell ref="L3:M3"/>
    <mergeCell ref="N3:O3"/>
    <mergeCell ref="H1:I1"/>
    <mergeCell ref="J1:K1"/>
    <mergeCell ref="L1:M1"/>
    <mergeCell ref="N1:O1"/>
    <mergeCell ref="H2:I2"/>
    <mergeCell ref="J2:K2"/>
    <mergeCell ref="L2:M2"/>
    <mergeCell ref="N2:O2"/>
    <mergeCell ref="E15:K15"/>
    <mergeCell ref="L15:R15"/>
    <mergeCell ref="B6:C6"/>
    <mergeCell ref="B7:E7"/>
    <mergeCell ref="B8:E8"/>
    <mergeCell ref="M13:T13"/>
    <mergeCell ref="D1:E5"/>
    <mergeCell ref="B1:C1"/>
    <mergeCell ref="B2:C2"/>
    <mergeCell ref="B3:C3"/>
    <mergeCell ref="B4:C4"/>
    <mergeCell ref="B5:C5"/>
  </mergeCells>
  <phoneticPr fontId="16" type="noConversion"/>
  <conditionalFormatting sqref="G8">
    <cfRule type="containsText" dxfId="425" priority="10" operator="containsText" text="Ok">
      <formula>NOT(ISERROR(SEARCH("Ok",G8)))</formula>
    </cfRule>
    <cfRule type="cellIs" dxfId="424" priority="11" operator="greaterThan">
      <formula>100</formula>
    </cfRule>
    <cfRule type="cellIs" dxfId="423" priority="12" operator="lessThan">
      <formula>100</formula>
    </cfRule>
  </conditionalFormatting>
  <conditionalFormatting sqref="T16:T31">
    <cfRule type="cellIs" dxfId="422" priority="5" operator="equal">
      <formula>"REPROBADO"</formula>
    </cfRule>
  </conditionalFormatting>
  <conditionalFormatting sqref="T17:T31">
    <cfRule type="containsText" dxfId="421" priority="4" operator="containsText" text="APROBADO">
      <formula>NOT(ISERROR(SEARCH("APROBADO",T17)))</formula>
    </cfRule>
  </conditionalFormatting>
  <conditionalFormatting sqref="W16:W31">
    <cfRule type="containsText" dxfId="420" priority="3" operator="containsText" text="REPROBADO">
      <formula>NOT(ISERROR(SEARCH("REPROBADO",W16)))</formula>
    </cfRule>
  </conditionalFormatting>
  <conditionalFormatting sqref="W17:W31">
    <cfRule type="containsText" dxfId="419" priority="2" operator="containsText" text="APROBADO">
      <formula>NOT(ISERROR(SEARCH("APROBADO",W17)))</formula>
    </cfRule>
  </conditionalFormatting>
  <conditionalFormatting sqref="U16:V31">
    <cfRule type="containsText" dxfId="418" priority="1" operator="containsText" text="PENDIENTE">
      <formula>NOT(ISERROR(SEARCH("PENDIENTE",U16)))</formula>
    </cfRule>
  </conditionalFormatting>
  <dataValidations count="3">
    <dataValidation type="whole" allowBlank="1" showInputMessage="1" showErrorMessage="1" sqref="B6" xr:uid="{8FE5028C-6646-4F75-8565-2D16742C6FF3}">
      <formula1>1</formula1>
      <formula2>12</formula2>
    </dataValidation>
    <dataValidation errorStyle="warning" allowBlank="1" showInputMessage="1" showErrorMessage="1" sqref="G4" xr:uid="{E589C276-90A0-4B62-95C4-8783CC076699}"/>
    <dataValidation type="list" showInputMessage="1" showErrorMessage="1" sqref="I4" xr:uid="{5CF7CCE0-3CFE-4BA9-92E9-8F7C9DC3413E}">
      <formula1>"70, 65"</formula1>
    </dataValidation>
  </dataValidations>
  <hyperlinks>
    <hyperlink ref="F6" location="Cotidiano!A1" display="Cotidiano" xr:uid="{00000000-0004-0000-0000-000004000000}"/>
    <hyperlink ref="F5" location="Proyectos!A1" display="Proyectos" xr:uid="{00000000-0004-0000-0000-000003000000}"/>
    <hyperlink ref="F4" location="Evaluaciones!A1" display="Evaluaciones" xr:uid="{00000000-0004-0000-0000-000002000000}"/>
    <hyperlink ref="F3" location="Tareas!A1" display="Tareas" xr:uid="{00000000-0004-0000-0000-000001000000}"/>
    <hyperlink ref="F9" location="Indicadores!A1" display="INDICADORES" xr:uid="{0A455F29-B04C-4B20-B703-0055A7EAD25E}"/>
    <hyperlink ref="F7" location="Portafolio!A1" display="Portafolio" xr:uid="{977C8D7C-8C86-4B88-9EC1-AC0467535392}"/>
  </hyperlinks>
  <pageMargins left="0.75" right="0.75" top="1" bottom="1" header="0.5" footer="0.5"/>
  <pageSetup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4" name="Boton 1">
              <controlPr defaultSize="0" print="0" autoFill="0" autoPict="0" macro="[0]!SeleccionarImagen">
                <anchor>
                  <from>
                    <xdr:col>4</xdr:col>
                    <xdr:colOff>815340</xdr:colOff>
                    <xdr:row>4</xdr:row>
                    <xdr:rowOff>15240</xdr:rowOff>
                  </from>
                  <to>
                    <xdr:col>4</xdr:col>
                    <xdr:colOff>1318260</xdr:colOff>
                    <xdr:row>4</xdr:row>
                    <xdr:rowOff>365760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>
    <tabColor theme="9"/>
  </sheetPr>
  <dimension ref="A1:FN32"/>
  <sheetViews>
    <sheetView showGridLines="0" zoomScale="80" zoomScaleNormal="80" workbookViewId="0">
      <pane xSplit="8" ySplit="12" topLeftCell="DO13" activePane="bottomRight" state="frozen"/>
      <selection activeCell="D25" sqref="D25"/>
      <selection pane="topRight" activeCell="D25" sqref="D25"/>
      <selection pane="bottomLeft" activeCell="D25" sqref="D25"/>
      <selection pane="bottomRight" activeCell="EL13" sqref="EL13"/>
    </sheetView>
  </sheetViews>
  <sheetFormatPr baseColWidth="10" defaultColWidth="8.77734375" defaultRowHeight="13.8" x14ac:dyDescent="0.3"/>
  <cols>
    <col min="1" max="1" width="21.77734375" style="32" customWidth="1"/>
    <col min="2" max="2" width="20.77734375" style="32" customWidth="1"/>
    <col min="3" max="3" width="24.77734375" style="32" customWidth="1"/>
    <col min="4" max="4" width="20.77734375" style="32" customWidth="1"/>
    <col min="5" max="5" width="4.33203125" style="33" customWidth="1"/>
    <col min="6" max="12" width="3.77734375" style="32" customWidth="1"/>
    <col min="13" max="13" width="7" style="32" customWidth="1"/>
    <col min="14" max="16" width="13.77734375" style="32" customWidth="1"/>
    <col min="17" max="21" width="3.77734375" style="32" customWidth="1"/>
    <col min="22" max="24" width="13.77734375" style="32" customWidth="1"/>
    <col min="25" max="29" width="3.77734375" style="32" customWidth="1"/>
    <col min="30" max="32" width="13.77734375" style="32" customWidth="1"/>
    <col min="33" max="37" width="3.77734375" style="32" customWidth="1"/>
    <col min="38" max="40" width="13.77734375" style="32" customWidth="1"/>
    <col min="41" max="45" width="3.77734375" style="32" customWidth="1"/>
    <col min="46" max="48" width="13.77734375" style="32" customWidth="1"/>
    <col min="49" max="53" width="3.77734375" style="32" customWidth="1"/>
    <col min="54" max="56" width="13.77734375" style="32" customWidth="1"/>
    <col min="57" max="61" width="3.77734375" style="32" customWidth="1"/>
    <col min="62" max="64" width="13.77734375" style="32" customWidth="1"/>
    <col min="65" max="69" width="3.77734375" style="32" customWidth="1"/>
    <col min="70" max="72" width="13.77734375" style="32" customWidth="1"/>
    <col min="73" max="77" width="3.77734375" style="32" customWidth="1"/>
    <col min="78" max="80" width="13.77734375" style="32" customWidth="1"/>
    <col min="81" max="85" width="3.77734375" style="32" customWidth="1"/>
    <col min="86" max="88" width="13.77734375" style="32" customWidth="1"/>
    <col min="89" max="93" width="3.77734375" style="32" customWidth="1"/>
    <col min="94" max="96" width="13.77734375" style="32" customWidth="1"/>
    <col min="97" max="101" width="3.77734375" style="32" customWidth="1"/>
    <col min="102" max="104" width="13.77734375" style="32" customWidth="1"/>
    <col min="105" max="109" width="3.77734375" style="32" customWidth="1"/>
    <col min="110" max="112" width="13.77734375" style="32" customWidth="1"/>
    <col min="113" max="117" width="3.77734375" style="32" customWidth="1"/>
    <col min="118" max="120" width="13.77734375" style="32" customWidth="1"/>
    <col min="121" max="125" width="3.77734375" style="32" customWidth="1"/>
    <col min="126" max="128" width="13.77734375" style="32" customWidth="1"/>
    <col min="129" max="133" width="3.77734375" style="32" customWidth="1"/>
    <col min="134" max="136" width="13.77734375" style="32" customWidth="1"/>
    <col min="137" max="141" width="3.77734375" style="32" customWidth="1"/>
    <col min="142" max="144" width="13.77734375" style="32" customWidth="1"/>
    <col min="145" max="149" width="3.77734375" style="32" customWidth="1"/>
    <col min="150" max="152" width="13.77734375" style="32" customWidth="1"/>
    <col min="153" max="157" width="3.77734375" style="32" customWidth="1"/>
    <col min="158" max="160" width="13.77734375" style="32" customWidth="1"/>
    <col min="161" max="165" width="3.77734375" style="32" customWidth="1"/>
    <col min="166" max="168" width="13.77734375" style="32" customWidth="1"/>
    <col min="169" max="169" width="10.44140625" style="32" customWidth="1"/>
    <col min="170" max="171" width="8.77734375" style="32"/>
    <col min="172" max="172" width="13.77734375" style="32" customWidth="1"/>
    <col min="173" max="16384" width="8.77734375" style="32"/>
  </cols>
  <sheetData>
    <row r="1" spans="1:170" s="44" customFormat="1" ht="25.2" customHeight="1" x14ac:dyDescent="0.3">
      <c r="A1" s="52" t="s">
        <v>240</v>
      </c>
      <c r="B1" s="53" t="s">
        <v>235</v>
      </c>
      <c r="C1" s="54" t="s">
        <v>236</v>
      </c>
      <c r="D1" s="55" t="s">
        <v>237</v>
      </c>
      <c r="E1" s="234" t="s">
        <v>239</v>
      </c>
      <c r="F1" s="235"/>
      <c r="G1" s="235"/>
      <c r="H1" s="235"/>
      <c r="I1" s="235"/>
      <c r="J1" s="235"/>
      <c r="K1" s="236" t="s">
        <v>238</v>
      </c>
      <c r="L1" s="237"/>
      <c r="M1" s="237"/>
      <c r="N1" s="237"/>
      <c r="O1" s="56"/>
      <c r="P1" s="56"/>
    </row>
    <row r="2" spans="1:170" ht="24" customHeight="1" x14ac:dyDescent="0.3">
      <c r="A2" s="44"/>
      <c r="B2" s="57"/>
      <c r="C2" s="57"/>
      <c r="D2" s="57"/>
      <c r="E2" s="49"/>
      <c r="F2" s="44"/>
      <c r="G2" s="44"/>
      <c r="H2" s="44"/>
    </row>
    <row r="3" spans="1:170" x14ac:dyDescent="0.3">
      <c r="A3" s="44"/>
      <c r="B3" s="44"/>
      <c r="C3" s="44"/>
      <c r="D3" s="44"/>
      <c r="E3" s="49"/>
      <c r="F3" s="44"/>
      <c r="G3" s="44"/>
      <c r="H3" s="44"/>
      <c r="O3" s="34"/>
    </row>
    <row r="4" spans="1:170" x14ac:dyDescent="0.3">
      <c r="A4" s="44"/>
      <c r="B4" s="44"/>
      <c r="C4" s="44"/>
      <c r="D4" s="44"/>
      <c r="E4" s="49"/>
      <c r="F4" s="44"/>
      <c r="G4" s="44"/>
      <c r="H4" s="44"/>
    </row>
    <row r="5" spans="1:170" ht="14.4" thickBot="1" x14ac:dyDescent="0.35">
      <c r="A5" s="44"/>
      <c r="B5" s="44"/>
      <c r="C5" s="44"/>
      <c r="D5" s="44"/>
      <c r="E5" s="49"/>
      <c r="F5" s="44"/>
      <c r="G5" s="44"/>
      <c r="H5" s="44"/>
    </row>
    <row r="6" spans="1:170" ht="57" customHeight="1" thickBot="1" x14ac:dyDescent="0.35">
      <c r="A6" s="44"/>
      <c r="B6" s="44"/>
      <c r="C6" s="44"/>
      <c r="D6" s="44"/>
      <c r="E6" s="49"/>
      <c r="F6" s="44"/>
      <c r="G6" s="44"/>
      <c r="H6" s="44"/>
      <c r="I6" s="218">
        <v>3</v>
      </c>
      <c r="J6" s="219"/>
      <c r="K6" s="220">
        <v>46080</v>
      </c>
      <c r="L6" s="221"/>
      <c r="M6" s="221"/>
      <c r="N6" s="221"/>
      <c r="O6" s="221"/>
      <c r="P6" s="222"/>
      <c r="Q6" s="218">
        <v>3</v>
      </c>
      <c r="R6" s="219"/>
      <c r="S6" s="220">
        <v>46083</v>
      </c>
      <c r="T6" s="221"/>
      <c r="U6" s="221"/>
      <c r="V6" s="221"/>
      <c r="W6" s="221"/>
      <c r="X6" s="222"/>
      <c r="Y6" s="218">
        <v>3</v>
      </c>
      <c r="Z6" s="219"/>
      <c r="AA6" s="220">
        <v>46087</v>
      </c>
      <c r="AB6" s="221"/>
      <c r="AC6" s="221"/>
      <c r="AD6" s="221"/>
      <c r="AE6" s="221"/>
      <c r="AF6" s="222"/>
      <c r="AG6" s="218">
        <v>3</v>
      </c>
      <c r="AH6" s="219"/>
      <c r="AI6" s="220">
        <v>46090</v>
      </c>
      <c r="AJ6" s="221"/>
      <c r="AK6" s="221"/>
      <c r="AL6" s="221"/>
      <c r="AM6" s="221"/>
      <c r="AN6" s="222"/>
      <c r="AO6" s="218">
        <v>3</v>
      </c>
      <c r="AP6" s="219"/>
      <c r="AQ6" s="220">
        <v>46101</v>
      </c>
      <c r="AR6" s="221"/>
      <c r="AS6" s="221"/>
      <c r="AT6" s="221"/>
      <c r="AU6" s="221"/>
      <c r="AV6" s="222"/>
      <c r="AW6" s="218">
        <v>3</v>
      </c>
      <c r="AX6" s="219"/>
      <c r="AY6" s="220">
        <v>46125</v>
      </c>
      <c r="AZ6" s="221"/>
      <c r="BA6" s="221"/>
      <c r="BB6" s="221"/>
      <c r="BC6" s="221"/>
      <c r="BD6" s="222"/>
      <c r="BE6" s="218">
        <v>1</v>
      </c>
      <c r="BF6" s="219"/>
      <c r="BG6" s="220">
        <v>46132</v>
      </c>
      <c r="BH6" s="221"/>
      <c r="BI6" s="221"/>
      <c r="BJ6" s="221"/>
      <c r="BK6" s="221"/>
      <c r="BL6" s="222"/>
      <c r="BM6" s="218">
        <v>3</v>
      </c>
      <c r="BN6" s="219"/>
      <c r="BO6" s="220">
        <v>46139</v>
      </c>
      <c r="BP6" s="221"/>
      <c r="BQ6" s="221"/>
      <c r="BR6" s="221"/>
      <c r="BS6" s="221"/>
      <c r="BT6" s="222"/>
      <c r="BU6" s="218">
        <v>3</v>
      </c>
      <c r="BV6" s="219"/>
      <c r="BW6" s="220">
        <v>46146</v>
      </c>
      <c r="BX6" s="221"/>
      <c r="BY6" s="221"/>
      <c r="BZ6" s="221"/>
      <c r="CA6" s="221"/>
      <c r="CB6" s="222"/>
      <c r="CC6" s="218">
        <v>3</v>
      </c>
      <c r="CD6" s="219"/>
      <c r="CE6" s="220">
        <v>46153</v>
      </c>
      <c r="CF6" s="221"/>
      <c r="CG6" s="221"/>
      <c r="CH6" s="221"/>
      <c r="CI6" s="221"/>
      <c r="CJ6" s="222"/>
      <c r="CK6" s="218">
        <v>3</v>
      </c>
      <c r="CL6" s="219"/>
      <c r="CM6" s="220">
        <v>46157</v>
      </c>
      <c r="CN6" s="221"/>
      <c r="CO6" s="221"/>
      <c r="CP6" s="221"/>
      <c r="CQ6" s="221"/>
      <c r="CR6" s="222"/>
      <c r="CS6" s="218">
        <v>3</v>
      </c>
      <c r="CT6" s="219"/>
      <c r="CU6" s="220">
        <v>46160</v>
      </c>
      <c r="CV6" s="221"/>
      <c r="CW6" s="221"/>
      <c r="CX6" s="221"/>
      <c r="CY6" s="221"/>
      <c r="CZ6" s="222"/>
      <c r="DA6" s="218">
        <v>3</v>
      </c>
      <c r="DB6" s="219"/>
      <c r="DC6" s="220">
        <v>46164</v>
      </c>
      <c r="DD6" s="221"/>
      <c r="DE6" s="221"/>
      <c r="DF6" s="221"/>
      <c r="DG6" s="221"/>
      <c r="DH6" s="222"/>
      <c r="DI6" s="218">
        <v>3</v>
      </c>
      <c r="DJ6" s="219"/>
      <c r="DK6" s="220">
        <v>46174</v>
      </c>
      <c r="DL6" s="221"/>
      <c r="DM6" s="221"/>
      <c r="DN6" s="221"/>
      <c r="DO6" s="221"/>
      <c r="DP6" s="222"/>
      <c r="DQ6" s="218">
        <v>3</v>
      </c>
      <c r="DR6" s="219"/>
      <c r="DS6" s="220">
        <v>46178</v>
      </c>
      <c r="DT6" s="221"/>
      <c r="DU6" s="221"/>
      <c r="DV6" s="221"/>
      <c r="DW6" s="221"/>
      <c r="DX6" s="222"/>
      <c r="DY6" s="218"/>
      <c r="DZ6" s="219"/>
      <c r="EA6" s="220"/>
      <c r="EB6" s="221"/>
      <c r="EC6" s="221"/>
      <c r="ED6" s="221"/>
      <c r="EE6" s="221"/>
      <c r="EF6" s="222"/>
      <c r="EG6" s="218"/>
      <c r="EH6" s="219"/>
      <c r="EI6" s="220"/>
      <c r="EJ6" s="221"/>
      <c r="EK6" s="221"/>
      <c r="EL6" s="221"/>
      <c r="EM6" s="221"/>
      <c r="EN6" s="222"/>
      <c r="EO6" s="218"/>
      <c r="EP6" s="219"/>
      <c r="EQ6" s="220"/>
      <c r="ER6" s="221"/>
      <c r="ES6" s="221"/>
      <c r="ET6" s="221"/>
      <c r="EU6" s="221"/>
      <c r="EV6" s="222"/>
      <c r="EW6" s="218"/>
      <c r="EX6" s="219"/>
      <c r="EY6" s="220"/>
      <c r="EZ6" s="221"/>
      <c r="FA6" s="221"/>
      <c r="FB6" s="221"/>
      <c r="FC6" s="221"/>
      <c r="FD6" s="222"/>
      <c r="FE6" s="218"/>
      <c r="FF6" s="219"/>
      <c r="FG6" s="220"/>
      <c r="FH6" s="221"/>
      <c r="FI6" s="221"/>
      <c r="FJ6" s="221"/>
      <c r="FK6" s="221"/>
      <c r="FL6" s="222"/>
    </row>
    <row r="7" spans="1:170" ht="15.6" thickBot="1" x14ac:dyDescent="0.35">
      <c r="A7" s="96">
        <v>5</v>
      </c>
      <c r="B7" s="96"/>
      <c r="C7" s="97"/>
      <c r="D7" s="31"/>
      <c r="E7" s="49"/>
      <c r="F7" s="44"/>
      <c r="G7" s="44"/>
      <c r="H7" s="44"/>
      <c r="I7" s="25"/>
      <c r="J7" s="26"/>
      <c r="K7" s="26"/>
      <c r="L7" s="26"/>
      <c r="M7" s="27"/>
      <c r="N7" s="28"/>
      <c r="O7" s="28"/>
      <c r="P7" s="29"/>
      <c r="Q7" s="25"/>
      <c r="R7" s="26"/>
      <c r="S7" s="26"/>
      <c r="T7" s="26"/>
      <c r="U7" s="27"/>
      <c r="V7" s="48"/>
      <c r="W7" s="27"/>
      <c r="X7" s="30"/>
      <c r="Y7" s="25"/>
      <c r="Z7" s="26"/>
      <c r="AA7" s="26"/>
      <c r="AB7" s="26"/>
      <c r="AC7" s="27"/>
      <c r="AD7" s="27"/>
      <c r="AE7" s="27"/>
      <c r="AF7" s="30"/>
      <c r="AG7" s="25"/>
      <c r="AH7" s="26"/>
      <c r="AI7" s="26"/>
      <c r="AJ7" s="26"/>
      <c r="AK7" s="27"/>
      <c r="AL7" s="27"/>
      <c r="AM7" s="27"/>
      <c r="AN7" s="30"/>
      <c r="AO7" s="25"/>
      <c r="AP7" s="26"/>
      <c r="AQ7" s="26"/>
      <c r="AR7" s="26"/>
      <c r="AS7" s="27"/>
      <c r="AT7" s="27"/>
      <c r="AU7" s="27"/>
      <c r="AV7" s="30"/>
      <c r="AW7" s="25"/>
      <c r="AX7" s="26"/>
      <c r="AY7" s="26"/>
      <c r="AZ7" s="26"/>
      <c r="BA7" s="27"/>
      <c r="BB7" s="27"/>
      <c r="BC7" s="27"/>
      <c r="BD7" s="30"/>
      <c r="BE7" s="25"/>
      <c r="BF7" s="26"/>
      <c r="BG7" s="26"/>
      <c r="BH7" s="26"/>
      <c r="BI7" s="27"/>
      <c r="BJ7" s="27"/>
      <c r="BK7" s="27"/>
      <c r="BL7" s="30"/>
      <c r="BM7" s="25"/>
      <c r="BN7" s="26"/>
      <c r="BO7" s="26"/>
      <c r="BP7" s="26"/>
      <c r="BQ7" s="27"/>
      <c r="BR7" s="27"/>
      <c r="BS7" s="27"/>
      <c r="BT7" s="30"/>
      <c r="BU7" s="25"/>
      <c r="BV7" s="26"/>
      <c r="BW7" s="26"/>
      <c r="BX7" s="26"/>
      <c r="BY7" s="27"/>
      <c r="BZ7" s="27"/>
      <c r="CA7" s="27"/>
      <c r="CB7" s="30"/>
      <c r="CC7" s="25"/>
      <c r="CD7" s="26"/>
      <c r="CE7" s="26"/>
      <c r="CF7" s="26"/>
      <c r="CG7" s="27"/>
      <c r="CH7" s="27"/>
      <c r="CI7" s="27"/>
      <c r="CJ7" s="30"/>
      <c r="CK7" s="25"/>
      <c r="CL7" s="26"/>
      <c r="CM7" s="26"/>
      <c r="CN7" s="26"/>
      <c r="CO7" s="27"/>
      <c r="CP7" s="27"/>
      <c r="CQ7" s="27"/>
      <c r="CR7" s="30"/>
      <c r="CS7" s="25"/>
      <c r="CT7" s="26"/>
      <c r="CU7" s="26"/>
      <c r="CV7" s="26"/>
      <c r="CW7" s="27"/>
      <c r="CX7" s="27"/>
      <c r="CY7" s="27"/>
      <c r="CZ7" s="30"/>
      <c r="DA7" s="25"/>
      <c r="DB7" s="26"/>
      <c r="DC7" s="26"/>
      <c r="DD7" s="26"/>
      <c r="DE7" s="27"/>
      <c r="DF7" s="27"/>
      <c r="DG7" s="27"/>
      <c r="DH7" s="30"/>
      <c r="DI7" s="25"/>
      <c r="DJ7" s="26"/>
      <c r="DK7" s="26"/>
      <c r="DL7" s="26"/>
      <c r="DM7" s="27"/>
      <c r="DN7" s="27"/>
      <c r="DO7" s="27"/>
      <c r="DP7" s="30"/>
      <c r="DQ7" s="25"/>
      <c r="DR7" s="26"/>
      <c r="DS7" s="26"/>
      <c r="DT7" s="26"/>
      <c r="DU7" s="27"/>
      <c r="DV7" s="27"/>
      <c r="DW7" s="27"/>
      <c r="DX7" s="30"/>
      <c r="DY7" s="25"/>
      <c r="DZ7" s="26"/>
      <c r="EA7" s="26"/>
      <c r="EB7" s="26"/>
      <c r="EC7" s="27"/>
      <c r="ED7" s="27"/>
      <c r="EE7" s="27"/>
      <c r="EF7" s="30"/>
      <c r="EG7" s="25"/>
      <c r="EH7" s="26"/>
      <c r="EI7" s="26"/>
      <c r="EJ7" s="26"/>
      <c r="EK7" s="27"/>
      <c r="EL7" s="27"/>
      <c r="EM7" s="27"/>
      <c r="EN7" s="30"/>
      <c r="EO7" s="25"/>
      <c r="EP7" s="26"/>
      <c r="EQ7" s="26"/>
      <c r="ER7" s="26"/>
      <c r="ES7" s="27"/>
      <c r="ET7" s="27"/>
      <c r="EU7" s="27"/>
      <c r="EV7" s="30"/>
      <c r="EW7" s="25"/>
      <c r="EX7" s="26"/>
      <c r="EY7" s="26"/>
      <c r="EZ7" s="26"/>
      <c r="FA7" s="27"/>
      <c r="FB7" s="27"/>
      <c r="FC7" s="27"/>
      <c r="FD7" s="30"/>
      <c r="FE7" s="25"/>
      <c r="FF7" s="26"/>
      <c r="FG7" s="26"/>
      <c r="FH7" s="26"/>
      <c r="FI7" s="27"/>
      <c r="FJ7" s="27"/>
      <c r="FK7" s="27"/>
      <c r="FL7" s="30"/>
    </row>
    <row r="8" spans="1:170" ht="49.2" customHeight="1" thickBot="1" x14ac:dyDescent="0.35">
      <c r="A8" s="96">
        <f>SUM(I6,Q6,Y6,AG6,AO6,AW6,BE6,BM6,BU6,CC6,CK6,CS6,DA6,DI6,DQ6,DY6,EG6,EO6,EW6,FE6)</f>
        <v>43</v>
      </c>
      <c r="B8" s="96"/>
      <c r="C8" s="96"/>
      <c r="D8" s="31"/>
      <c r="E8" s="241" t="s">
        <v>64</v>
      </c>
      <c r="F8" s="241" t="s">
        <v>65</v>
      </c>
      <c r="G8" s="241" t="s">
        <v>66</v>
      </c>
      <c r="H8" s="241" t="s">
        <v>67</v>
      </c>
      <c r="I8" s="225" t="s">
        <v>51</v>
      </c>
      <c r="J8" s="226"/>
      <c r="K8" s="226"/>
      <c r="L8" s="226"/>
      <c r="M8" s="227"/>
      <c r="N8" s="238" t="s">
        <v>52</v>
      </c>
      <c r="O8" s="239"/>
      <c r="P8" s="240"/>
      <c r="Q8" s="223" t="s">
        <v>51</v>
      </c>
      <c r="R8" s="223"/>
      <c r="S8" s="223"/>
      <c r="T8" s="223"/>
      <c r="U8" s="224"/>
      <c r="V8" s="225" t="s">
        <v>52</v>
      </c>
      <c r="W8" s="226"/>
      <c r="X8" s="227"/>
      <c r="Y8" s="223" t="s">
        <v>51</v>
      </c>
      <c r="Z8" s="223"/>
      <c r="AA8" s="223"/>
      <c r="AB8" s="223"/>
      <c r="AC8" s="224"/>
      <c r="AD8" s="225" t="s">
        <v>52</v>
      </c>
      <c r="AE8" s="226"/>
      <c r="AF8" s="227"/>
      <c r="AG8" s="223" t="s">
        <v>51</v>
      </c>
      <c r="AH8" s="223"/>
      <c r="AI8" s="223"/>
      <c r="AJ8" s="223"/>
      <c r="AK8" s="224"/>
      <c r="AL8" s="225" t="s">
        <v>52</v>
      </c>
      <c r="AM8" s="226"/>
      <c r="AN8" s="227"/>
      <c r="AO8" s="223" t="s">
        <v>51</v>
      </c>
      <c r="AP8" s="223"/>
      <c r="AQ8" s="223"/>
      <c r="AR8" s="223"/>
      <c r="AS8" s="224"/>
      <c r="AT8" s="225" t="s">
        <v>52</v>
      </c>
      <c r="AU8" s="226"/>
      <c r="AV8" s="227"/>
      <c r="AW8" s="223" t="s">
        <v>51</v>
      </c>
      <c r="AX8" s="223"/>
      <c r="AY8" s="223"/>
      <c r="AZ8" s="223"/>
      <c r="BA8" s="224"/>
      <c r="BB8" s="225" t="s">
        <v>52</v>
      </c>
      <c r="BC8" s="226"/>
      <c r="BD8" s="227"/>
      <c r="BE8" s="223" t="s">
        <v>51</v>
      </c>
      <c r="BF8" s="223"/>
      <c r="BG8" s="223"/>
      <c r="BH8" s="223"/>
      <c r="BI8" s="224"/>
      <c r="BJ8" s="225" t="s">
        <v>52</v>
      </c>
      <c r="BK8" s="226"/>
      <c r="BL8" s="227"/>
      <c r="BM8" s="223" t="s">
        <v>51</v>
      </c>
      <c r="BN8" s="223"/>
      <c r="BO8" s="223"/>
      <c r="BP8" s="223"/>
      <c r="BQ8" s="224"/>
      <c r="BR8" s="225" t="s">
        <v>52</v>
      </c>
      <c r="BS8" s="226"/>
      <c r="BT8" s="227"/>
      <c r="BU8" s="223" t="s">
        <v>51</v>
      </c>
      <c r="BV8" s="223"/>
      <c r="BW8" s="223"/>
      <c r="BX8" s="223"/>
      <c r="BY8" s="224"/>
      <c r="BZ8" s="225" t="s">
        <v>52</v>
      </c>
      <c r="CA8" s="226"/>
      <c r="CB8" s="227"/>
      <c r="CC8" s="223" t="s">
        <v>51</v>
      </c>
      <c r="CD8" s="223"/>
      <c r="CE8" s="223"/>
      <c r="CF8" s="223"/>
      <c r="CG8" s="224"/>
      <c r="CH8" s="225" t="s">
        <v>52</v>
      </c>
      <c r="CI8" s="226"/>
      <c r="CJ8" s="227"/>
      <c r="CK8" s="223" t="s">
        <v>51</v>
      </c>
      <c r="CL8" s="223"/>
      <c r="CM8" s="223"/>
      <c r="CN8" s="223"/>
      <c r="CO8" s="224"/>
      <c r="CP8" s="225" t="s">
        <v>52</v>
      </c>
      <c r="CQ8" s="226"/>
      <c r="CR8" s="227"/>
      <c r="CS8" s="223" t="s">
        <v>51</v>
      </c>
      <c r="CT8" s="223"/>
      <c r="CU8" s="223"/>
      <c r="CV8" s="223"/>
      <c r="CW8" s="224"/>
      <c r="CX8" s="225" t="s">
        <v>52</v>
      </c>
      <c r="CY8" s="226"/>
      <c r="CZ8" s="227"/>
      <c r="DA8" s="223" t="s">
        <v>51</v>
      </c>
      <c r="DB8" s="223"/>
      <c r="DC8" s="223"/>
      <c r="DD8" s="223"/>
      <c r="DE8" s="224"/>
      <c r="DF8" s="225" t="s">
        <v>52</v>
      </c>
      <c r="DG8" s="226"/>
      <c r="DH8" s="227"/>
      <c r="DI8" s="223" t="s">
        <v>51</v>
      </c>
      <c r="DJ8" s="223"/>
      <c r="DK8" s="223"/>
      <c r="DL8" s="223"/>
      <c r="DM8" s="224"/>
      <c r="DN8" s="225" t="s">
        <v>52</v>
      </c>
      <c r="DO8" s="226"/>
      <c r="DP8" s="227"/>
      <c r="DQ8" s="223" t="s">
        <v>51</v>
      </c>
      <c r="DR8" s="223"/>
      <c r="DS8" s="223"/>
      <c r="DT8" s="223"/>
      <c r="DU8" s="224"/>
      <c r="DV8" s="225" t="s">
        <v>52</v>
      </c>
      <c r="DW8" s="226"/>
      <c r="DX8" s="227"/>
      <c r="DY8" s="223" t="s">
        <v>51</v>
      </c>
      <c r="DZ8" s="223"/>
      <c r="EA8" s="223"/>
      <c r="EB8" s="223"/>
      <c r="EC8" s="224"/>
      <c r="ED8" s="225" t="s">
        <v>52</v>
      </c>
      <c r="EE8" s="226"/>
      <c r="EF8" s="227"/>
      <c r="EG8" s="223" t="s">
        <v>51</v>
      </c>
      <c r="EH8" s="223"/>
      <c r="EI8" s="223"/>
      <c r="EJ8" s="223"/>
      <c r="EK8" s="224"/>
      <c r="EL8" s="225" t="s">
        <v>52</v>
      </c>
      <c r="EM8" s="226"/>
      <c r="EN8" s="227"/>
      <c r="EO8" s="223" t="s">
        <v>51</v>
      </c>
      <c r="EP8" s="223"/>
      <c r="EQ8" s="223"/>
      <c r="ER8" s="223"/>
      <c r="ES8" s="224"/>
      <c r="ET8" s="225" t="s">
        <v>52</v>
      </c>
      <c r="EU8" s="226"/>
      <c r="EV8" s="227"/>
      <c r="EW8" s="223" t="s">
        <v>51</v>
      </c>
      <c r="EX8" s="223"/>
      <c r="EY8" s="223"/>
      <c r="EZ8" s="223"/>
      <c r="FA8" s="224"/>
      <c r="FB8" s="225" t="s">
        <v>52</v>
      </c>
      <c r="FC8" s="226"/>
      <c r="FD8" s="227"/>
      <c r="FE8" s="223" t="s">
        <v>51</v>
      </c>
      <c r="FF8" s="223"/>
      <c r="FG8" s="223"/>
      <c r="FH8" s="223"/>
      <c r="FI8" s="224"/>
      <c r="FJ8" s="225" t="s">
        <v>52</v>
      </c>
      <c r="FK8" s="226"/>
      <c r="FL8" s="227"/>
    </row>
    <row r="9" spans="1:170" ht="177.45" customHeight="1" x14ac:dyDescent="0.25">
      <c r="A9" s="31"/>
      <c r="B9" s="58"/>
      <c r="C9" s="31"/>
      <c r="D9" s="31"/>
      <c r="E9" s="241"/>
      <c r="F9" s="241"/>
      <c r="G9" s="241"/>
      <c r="H9" s="242"/>
      <c r="I9" s="68" t="s">
        <v>53</v>
      </c>
      <c r="J9" s="69" t="s">
        <v>54</v>
      </c>
      <c r="K9" s="69" t="s">
        <v>55</v>
      </c>
      <c r="L9" s="70" t="s">
        <v>56</v>
      </c>
      <c r="M9" s="71" t="s">
        <v>57</v>
      </c>
      <c r="N9" s="228" t="s">
        <v>306</v>
      </c>
      <c r="O9" s="232"/>
      <c r="P9" s="231"/>
      <c r="Q9" s="59" t="s">
        <v>53</v>
      </c>
      <c r="R9" s="60" t="s">
        <v>54</v>
      </c>
      <c r="S9" s="60" t="s">
        <v>55</v>
      </c>
      <c r="T9" s="61" t="s">
        <v>56</v>
      </c>
      <c r="U9" s="62" t="s">
        <v>57</v>
      </c>
      <c r="V9" s="228" t="s">
        <v>306</v>
      </c>
      <c r="W9" s="231"/>
      <c r="X9" s="231"/>
      <c r="Y9" s="59" t="s">
        <v>53</v>
      </c>
      <c r="Z9" s="60" t="s">
        <v>54</v>
      </c>
      <c r="AA9" s="60" t="s">
        <v>55</v>
      </c>
      <c r="AB9" s="61" t="s">
        <v>56</v>
      </c>
      <c r="AC9" s="62" t="s">
        <v>57</v>
      </c>
      <c r="AD9" s="228" t="s">
        <v>307</v>
      </c>
      <c r="AE9" s="231"/>
      <c r="AF9" s="231"/>
      <c r="AG9" s="59" t="s">
        <v>53</v>
      </c>
      <c r="AH9" s="60" t="s">
        <v>54</v>
      </c>
      <c r="AI9" s="60" t="s">
        <v>55</v>
      </c>
      <c r="AJ9" s="61" t="s">
        <v>56</v>
      </c>
      <c r="AK9" s="62" t="s">
        <v>57</v>
      </c>
      <c r="AL9" s="228" t="s">
        <v>308</v>
      </c>
      <c r="AM9" s="231"/>
      <c r="AN9" s="231"/>
      <c r="AO9" s="59" t="s">
        <v>53</v>
      </c>
      <c r="AP9" s="60" t="s">
        <v>54</v>
      </c>
      <c r="AQ9" s="60" t="s">
        <v>55</v>
      </c>
      <c r="AR9" s="61" t="s">
        <v>56</v>
      </c>
      <c r="AS9" s="62" t="s">
        <v>57</v>
      </c>
      <c r="AT9" s="228" t="s">
        <v>308</v>
      </c>
      <c r="AU9" s="231"/>
      <c r="AV9" s="231"/>
      <c r="AW9" s="59" t="s">
        <v>53</v>
      </c>
      <c r="AX9" s="60" t="s">
        <v>54</v>
      </c>
      <c r="AY9" s="60" t="s">
        <v>55</v>
      </c>
      <c r="AZ9" s="61" t="s">
        <v>56</v>
      </c>
      <c r="BA9" s="62" t="s">
        <v>57</v>
      </c>
      <c r="BB9" s="228"/>
      <c r="BC9" s="231"/>
      <c r="BD9" s="231"/>
      <c r="BE9" s="59" t="s">
        <v>53</v>
      </c>
      <c r="BF9" s="60" t="s">
        <v>54</v>
      </c>
      <c r="BG9" s="60" t="s">
        <v>55</v>
      </c>
      <c r="BH9" s="61" t="s">
        <v>56</v>
      </c>
      <c r="BI9" s="62" t="s">
        <v>57</v>
      </c>
      <c r="BJ9" s="228"/>
      <c r="BK9" s="231"/>
      <c r="BL9" s="231"/>
      <c r="BM9" s="59" t="s">
        <v>53</v>
      </c>
      <c r="BN9" s="60" t="s">
        <v>54</v>
      </c>
      <c r="BO9" s="60" t="s">
        <v>55</v>
      </c>
      <c r="BP9" s="61" t="s">
        <v>56</v>
      </c>
      <c r="BQ9" s="62" t="s">
        <v>57</v>
      </c>
      <c r="BR9" s="228"/>
      <c r="BS9" s="231"/>
      <c r="BT9" s="231"/>
      <c r="BU9" s="59" t="s">
        <v>53</v>
      </c>
      <c r="BV9" s="60" t="s">
        <v>54</v>
      </c>
      <c r="BW9" s="60" t="s">
        <v>55</v>
      </c>
      <c r="BX9" s="61" t="s">
        <v>56</v>
      </c>
      <c r="BY9" s="62" t="s">
        <v>57</v>
      </c>
      <c r="BZ9" s="228"/>
      <c r="CA9" s="231"/>
      <c r="CB9" s="231"/>
      <c r="CC9" s="59" t="s">
        <v>53</v>
      </c>
      <c r="CD9" s="60" t="s">
        <v>54</v>
      </c>
      <c r="CE9" s="60" t="s">
        <v>55</v>
      </c>
      <c r="CF9" s="61" t="s">
        <v>56</v>
      </c>
      <c r="CG9" s="62" t="s">
        <v>57</v>
      </c>
      <c r="CH9" s="228"/>
      <c r="CI9" s="231"/>
      <c r="CJ9" s="231"/>
      <c r="CK9" s="59" t="s">
        <v>53</v>
      </c>
      <c r="CL9" s="60" t="s">
        <v>54</v>
      </c>
      <c r="CM9" s="60" t="s">
        <v>55</v>
      </c>
      <c r="CN9" s="61" t="s">
        <v>56</v>
      </c>
      <c r="CO9" s="62" t="s">
        <v>57</v>
      </c>
      <c r="CP9" s="228"/>
      <c r="CQ9" s="231"/>
      <c r="CR9" s="231"/>
      <c r="CS9" s="59" t="s">
        <v>53</v>
      </c>
      <c r="CT9" s="60" t="s">
        <v>54</v>
      </c>
      <c r="CU9" s="60" t="s">
        <v>55</v>
      </c>
      <c r="CV9" s="61" t="s">
        <v>56</v>
      </c>
      <c r="CW9" s="62" t="s">
        <v>57</v>
      </c>
      <c r="CX9" s="228"/>
      <c r="CY9" s="231"/>
      <c r="CZ9" s="231"/>
      <c r="DA9" s="35" t="s">
        <v>53</v>
      </c>
      <c r="DB9" s="36" t="s">
        <v>54</v>
      </c>
      <c r="DC9" s="36" t="s">
        <v>55</v>
      </c>
      <c r="DD9" s="37" t="s">
        <v>56</v>
      </c>
      <c r="DE9" s="38" t="s">
        <v>57</v>
      </c>
      <c r="DF9" s="228"/>
      <c r="DG9" s="231"/>
      <c r="DH9" s="231"/>
      <c r="DI9" s="59" t="s">
        <v>53</v>
      </c>
      <c r="DJ9" s="60" t="s">
        <v>54</v>
      </c>
      <c r="DK9" s="60" t="s">
        <v>55</v>
      </c>
      <c r="DL9" s="61" t="s">
        <v>56</v>
      </c>
      <c r="DM9" s="62" t="s">
        <v>57</v>
      </c>
      <c r="DN9" s="228"/>
      <c r="DO9" s="231"/>
      <c r="DP9" s="231"/>
      <c r="DQ9" s="59" t="s">
        <v>53</v>
      </c>
      <c r="DR9" s="60" t="s">
        <v>54</v>
      </c>
      <c r="DS9" s="60" t="s">
        <v>55</v>
      </c>
      <c r="DT9" s="61" t="s">
        <v>56</v>
      </c>
      <c r="DU9" s="62" t="s">
        <v>57</v>
      </c>
      <c r="DV9" s="228"/>
      <c r="DW9" s="231"/>
      <c r="DX9" s="231"/>
      <c r="DY9" s="59" t="s">
        <v>53</v>
      </c>
      <c r="DZ9" s="60" t="s">
        <v>54</v>
      </c>
      <c r="EA9" s="60" t="s">
        <v>55</v>
      </c>
      <c r="EB9" s="61" t="s">
        <v>56</v>
      </c>
      <c r="EC9" s="62" t="s">
        <v>57</v>
      </c>
      <c r="ED9" s="228"/>
      <c r="EE9" s="231"/>
      <c r="EF9" s="231"/>
      <c r="EG9" s="59" t="s">
        <v>53</v>
      </c>
      <c r="EH9" s="60" t="s">
        <v>54</v>
      </c>
      <c r="EI9" s="60" t="s">
        <v>55</v>
      </c>
      <c r="EJ9" s="61" t="s">
        <v>56</v>
      </c>
      <c r="EK9" s="62" t="s">
        <v>57</v>
      </c>
      <c r="EL9" s="228"/>
      <c r="EM9" s="231"/>
      <c r="EN9" s="231"/>
      <c r="EO9" s="59" t="s">
        <v>53</v>
      </c>
      <c r="EP9" s="60" t="s">
        <v>54</v>
      </c>
      <c r="EQ9" s="60" t="s">
        <v>55</v>
      </c>
      <c r="ER9" s="61" t="s">
        <v>56</v>
      </c>
      <c r="ES9" s="62" t="s">
        <v>57</v>
      </c>
      <c r="ET9" s="228"/>
      <c r="EU9" s="231"/>
      <c r="EV9" s="231"/>
      <c r="EW9" s="59" t="s">
        <v>53</v>
      </c>
      <c r="EX9" s="60" t="s">
        <v>54</v>
      </c>
      <c r="EY9" s="60" t="s">
        <v>55</v>
      </c>
      <c r="EZ9" s="61" t="s">
        <v>56</v>
      </c>
      <c r="FA9" s="62" t="s">
        <v>57</v>
      </c>
      <c r="FB9" s="228"/>
      <c r="FC9" s="231"/>
      <c r="FD9" s="231"/>
      <c r="FE9" s="59" t="s">
        <v>53</v>
      </c>
      <c r="FF9" s="60" t="s">
        <v>54</v>
      </c>
      <c r="FG9" s="60" t="s">
        <v>55</v>
      </c>
      <c r="FH9" s="61" t="s">
        <v>56</v>
      </c>
      <c r="FI9" s="62" t="s">
        <v>57</v>
      </c>
      <c r="FJ9" s="228"/>
      <c r="FK9" s="231"/>
      <c r="FL9" s="231"/>
    </row>
    <row r="10" spans="1:170" ht="14.55" customHeight="1" x14ac:dyDescent="0.3">
      <c r="A10" s="44"/>
      <c r="B10" s="44"/>
      <c r="C10" s="44"/>
      <c r="D10" s="44"/>
      <c r="E10" s="241"/>
      <c r="F10" s="241"/>
      <c r="G10" s="241"/>
      <c r="H10" s="242"/>
      <c r="I10" s="64"/>
      <c r="J10" s="64"/>
      <c r="K10" s="64"/>
      <c r="L10" s="64"/>
      <c r="M10" s="65"/>
      <c r="N10" s="229"/>
      <c r="O10" s="232"/>
      <c r="P10" s="232"/>
      <c r="Q10" s="63"/>
      <c r="R10" s="64"/>
      <c r="S10" s="64"/>
      <c r="T10" s="64"/>
      <c r="U10" s="65"/>
      <c r="V10" s="229"/>
      <c r="W10" s="232"/>
      <c r="X10" s="232"/>
      <c r="Y10" s="63"/>
      <c r="Z10" s="64"/>
      <c r="AA10" s="64"/>
      <c r="AB10" s="64"/>
      <c r="AC10" s="65"/>
      <c r="AD10" s="229"/>
      <c r="AE10" s="232"/>
      <c r="AF10" s="232"/>
      <c r="AG10" s="63"/>
      <c r="AH10" s="64"/>
      <c r="AI10" s="64"/>
      <c r="AJ10" s="64"/>
      <c r="AK10" s="65"/>
      <c r="AL10" s="229"/>
      <c r="AM10" s="232"/>
      <c r="AN10" s="232"/>
      <c r="AO10" s="63"/>
      <c r="AP10" s="64"/>
      <c r="AQ10" s="64"/>
      <c r="AR10" s="64"/>
      <c r="AS10" s="65"/>
      <c r="AT10" s="229"/>
      <c r="AU10" s="232"/>
      <c r="AV10" s="232"/>
      <c r="AW10" s="63"/>
      <c r="AX10" s="64"/>
      <c r="AY10" s="64"/>
      <c r="AZ10" s="64"/>
      <c r="BA10" s="65"/>
      <c r="BB10" s="229"/>
      <c r="BC10" s="232"/>
      <c r="BD10" s="232"/>
      <c r="BE10" s="63"/>
      <c r="BF10" s="64"/>
      <c r="BG10" s="64"/>
      <c r="BH10" s="64"/>
      <c r="BI10" s="65"/>
      <c r="BJ10" s="229"/>
      <c r="BK10" s="232"/>
      <c r="BL10" s="232"/>
      <c r="BM10" s="63"/>
      <c r="BN10" s="64"/>
      <c r="BO10" s="64"/>
      <c r="BP10" s="64"/>
      <c r="BQ10" s="65"/>
      <c r="BR10" s="229"/>
      <c r="BS10" s="232"/>
      <c r="BT10" s="232"/>
      <c r="BU10" s="63"/>
      <c r="BV10" s="64"/>
      <c r="BW10" s="64"/>
      <c r="BX10" s="64"/>
      <c r="BY10" s="65"/>
      <c r="BZ10" s="229"/>
      <c r="CA10" s="232"/>
      <c r="CB10" s="232"/>
      <c r="CC10" s="63"/>
      <c r="CD10" s="64"/>
      <c r="CE10" s="64"/>
      <c r="CF10" s="64"/>
      <c r="CG10" s="65"/>
      <c r="CH10" s="229"/>
      <c r="CI10" s="232"/>
      <c r="CJ10" s="232"/>
      <c r="CK10" s="63"/>
      <c r="CL10" s="64"/>
      <c r="CM10" s="64"/>
      <c r="CN10" s="64"/>
      <c r="CO10" s="65"/>
      <c r="CP10" s="229"/>
      <c r="CQ10" s="232"/>
      <c r="CR10" s="232"/>
      <c r="CS10" s="63"/>
      <c r="CT10" s="64"/>
      <c r="CU10" s="64"/>
      <c r="CV10" s="64"/>
      <c r="CW10" s="65"/>
      <c r="CX10" s="229"/>
      <c r="CY10" s="232"/>
      <c r="CZ10" s="232"/>
      <c r="DA10" s="41"/>
      <c r="DB10" s="39"/>
      <c r="DC10" s="39"/>
      <c r="DD10" s="39"/>
      <c r="DE10" s="40"/>
      <c r="DF10" s="229"/>
      <c r="DG10" s="232"/>
      <c r="DH10" s="232"/>
      <c r="DI10" s="63"/>
      <c r="DJ10" s="64"/>
      <c r="DK10" s="64"/>
      <c r="DL10" s="64"/>
      <c r="DM10" s="65"/>
      <c r="DN10" s="229"/>
      <c r="DO10" s="232"/>
      <c r="DP10" s="232"/>
      <c r="DQ10" s="63"/>
      <c r="DR10" s="64"/>
      <c r="DS10" s="64"/>
      <c r="DT10" s="64"/>
      <c r="DU10" s="65"/>
      <c r="DV10" s="229"/>
      <c r="DW10" s="232"/>
      <c r="DX10" s="232"/>
      <c r="DY10" s="63"/>
      <c r="DZ10" s="64"/>
      <c r="EA10" s="64"/>
      <c r="EB10" s="64"/>
      <c r="EC10" s="65"/>
      <c r="ED10" s="229"/>
      <c r="EE10" s="232"/>
      <c r="EF10" s="232"/>
      <c r="EG10" s="63"/>
      <c r="EH10" s="64"/>
      <c r="EI10" s="64"/>
      <c r="EJ10" s="64"/>
      <c r="EK10" s="65"/>
      <c r="EL10" s="229"/>
      <c r="EM10" s="232"/>
      <c r="EN10" s="232"/>
      <c r="EO10" s="63"/>
      <c r="EP10" s="64"/>
      <c r="EQ10" s="64"/>
      <c r="ER10" s="64"/>
      <c r="ES10" s="65"/>
      <c r="ET10" s="229"/>
      <c r="EU10" s="232"/>
      <c r="EV10" s="232"/>
      <c r="EW10" s="63"/>
      <c r="EX10" s="64"/>
      <c r="EY10" s="64"/>
      <c r="EZ10" s="64"/>
      <c r="FA10" s="65"/>
      <c r="FB10" s="229"/>
      <c r="FC10" s="232"/>
      <c r="FD10" s="232"/>
      <c r="FE10" s="63"/>
      <c r="FF10" s="64"/>
      <c r="FG10" s="64"/>
      <c r="FH10" s="64"/>
      <c r="FI10" s="65"/>
      <c r="FJ10" s="229"/>
      <c r="FK10" s="232"/>
      <c r="FL10" s="232"/>
    </row>
    <row r="11" spans="1:170" ht="26.55" customHeight="1" x14ac:dyDescent="0.3">
      <c r="A11" s="44"/>
      <c r="B11" s="44"/>
      <c r="C11" s="44"/>
      <c r="D11" s="44"/>
      <c r="E11" s="241"/>
      <c r="F11" s="241"/>
      <c r="G11" s="241"/>
      <c r="H11" s="242"/>
      <c r="I11" s="64"/>
      <c r="J11" s="64"/>
      <c r="K11" s="64"/>
      <c r="L11" s="66"/>
      <c r="M11" s="72"/>
      <c r="N11" s="230"/>
      <c r="O11" s="233"/>
      <c r="P11" s="233"/>
      <c r="Q11" s="67"/>
      <c r="R11" s="66"/>
      <c r="S11" s="66"/>
      <c r="T11" s="66"/>
      <c r="U11" s="66"/>
      <c r="V11" s="230"/>
      <c r="W11" s="233"/>
      <c r="X11" s="233"/>
      <c r="Y11" s="66"/>
      <c r="Z11" s="66"/>
      <c r="AA11" s="66"/>
      <c r="AB11" s="66"/>
      <c r="AC11" s="66"/>
      <c r="AD11" s="230"/>
      <c r="AE11" s="233"/>
      <c r="AF11" s="233"/>
      <c r="AG11" s="66"/>
      <c r="AH11" s="66"/>
      <c r="AI11" s="66"/>
      <c r="AJ11" s="66"/>
      <c r="AK11" s="66"/>
      <c r="AL11" s="230"/>
      <c r="AM11" s="233"/>
      <c r="AN11" s="233"/>
      <c r="AO11" s="66"/>
      <c r="AP11" s="66"/>
      <c r="AQ11" s="66"/>
      <c r="AR11" s="66"/>
      <c r="AS11" s="66"/>
      <c r="AT11" s="230"/>
      <c r="AU11" s="233"/>
      <c r="AV11" s="233"/>
      <c r="AW11" s="66"/>
      <c r="AX11" s="66"/>
      <c r="AY11" s="66"/>
      <c r="AZ11" s="66"/>
      <c r="BA11" s="66"/>
      <c r="BB11" s="230"/>
      <c r="BC11" s="233"/>
      <c r="BD11" s="233"/>
      <c r="BE11" s="66"/>
      <c r="BF11" s="66"/>
      <c r="BG11" s="66"/>
      <c r="BH11" s="66"/>
      <c r="BI11" s="66"/>
      <c r="BJ11" s="230"/>
      <c r="BK11" s="233"/>
      <c r="BL11" s="233"/>
      <c r="BM11" s="66"/>
      <c r="BN11" s="66"/>
      <c r="BO11" s="66"/>
      <c r="BP11" s="66"/>
      <c r="BQ11" s="66"/>
      <c r="BR11" s="230"/>
      <c r="BS11" s="233"/>
      <c r="BT11" s="233"/>
      <c r="BU11" s="66"/>
      <c r="BV11" s="66"/>
      <c r="BW11" s="66"/>
      <c r="BX11" s="66"/>
      <c r="BY11" s="66"/>
      <c r="BZ11" s="230"/>
      <c r="CA11" s="233"/>
      <c r="CB11" s="233"/>
      <c r="CC11" s="66"/>
      <c r="CD11" s="66"/>
      <c r="CE11" s="66"/>
      <c r="CF11" s="66"/>
      <c r="CG11" s="66"/>
      <c r="CH11" s="230"/>
      <c r="CI11" s="233"/>
      <c r="CJ11" s="233"/>
      <c r="CK11" s="66"/>
      <c r="CL11" s="66"/>
      <c r="CM11" s="66"/>
      <c r="CN11" s="66"/>
      <c r="CO11" s="66"/>
      <c r="CP11" s="230"/>
      <c r="CQ11" s="233"/>
      <c r="CR11" s="233"/>
      <c r="CS11" s="66"/>
      <c r="CT11" s="66"/>
      <c r="CU11" s="66"/>
      <c r="CV11" s="66"/>
      <c r="CW11" s="66"/>
      <c r="CX11" s="230"/>
      <c r="CY11" s="233"/>
      <c r="CZ11" s="233"/>
      <c r="DA11" s="42"/>
      <c r="DB11" s="42"/>
      <c r="DC11" s="42"/>
      <c r="DD11" s="42"/>
      <c r="DE11" s="42"/>
      <c r="DF11" s="230"/>
      <c r="DG11" s="233"/>
      <c r="DH11" s="233"/>
      <c r="DI11" s="66"/>
      <c r="DJ11" s="66"/>
      <c r="DK11" s="66"/>
      <c r="DL11" s="66"/>
      <c r="DM11" s="66"/>
      <c r="DN11" s="230"/>
      <c r="DO11" s="233"/>
      <c r="DP11" s="233"/>
      <c r="DQ11" s="66"/>
      <c r="DR11" s="66"/>
      <c r="DS11" s="66"/>
      <c r="DT11" s="66"/>
      <c r="DU11" s="66"/>
      <c r="DV11" s="230"/>
      <c r="DW11" s="233"/>
      <c r="DX11" s="233"/>
      <c r="DY11" s="66"/>
      <c r="DZ11" s="66"/>
      <c r="EA11" s="66"/>
      <c r="EB11" s="66"/>
      <c r="EC11" s="66"/>
      <c r="ED11" s="230"/>
      <c r="EE11" s="233"/>
      <c r="EF11" s="233"/>
      <c r="EG11" s="66"/>
      <c r="EH11" s="66"/>
      <c r="EI11" s="66"/>
      <c r="EJ11" s="66"/>
      <c r="EK11" s="66"/>
      <c r="EL11" s="230"/>
      <c r="EM11" s="233"/>
      <c r="EN11" s="233"/>
      <c r="EO11" s="66"/>
      <c r="EP11" s="66"/>
      <c r="EQ11" s="66"/>
      <c r="ER11" s="66"/>
      <c r="ES11" s="66"/>
      <c r="ET11" s="230"/>
      <c r="EU11" s="233"/>
      <c r="EV11" s="233"/>
      <c r="EW11" s="66"/>
      <c r="EX11" s="66"/>
      <c r="EY11" s="66"/>
      <c r="EZ11" s="66"/>
      <c r="FA11" s="66"/>
      <c r="FB11" s="230"/>
      <c r="FC11" s="233"/>
      <c r="FD11" s="233"/>
      <c r="FE11" s="66"/>
      <c r="FF11" s="66"/>
      <c r="FG11" s="66"/>
      <c r="FH11" s="66"/>
      <c r="FI11" s="66"/>
      <c r="FJ11" s="230"/>
      <c r="FK11" s="233"/>
      <c r="FL11" s="233"/>
    </row>
    <row r="12" spans="1:170" ht="19.8" customHeight="1" x14ac:dyDescent="0.25">
      <c r="A12" s="111" t="s">
        <v>0</v>
      </c>
      <c r="B12" s="31" t="s">
        <v>1</v>
      </c>
      <c r="C12" s="31" t="s">
        <v>2</v>
      </c>
      <c r="D12" s="31" t="s">
        <v>3</v>
      </c>
      <c r="E12" s="74" t="s">
        <v>58</v>
      </c>
      <c r="F12" s="74" t="s">
        <v>59</v>
      </c>
      <c r="G12" s="74" t="s">
        <v>60</v>
      </c>
      <c r="H12" s="75" t="s">
        <v>222</v>
      </c>
      <c r="I12" s="76" t="s">
        <v>224</v>
      </c>
      <c r="J12" s="75" t="s">
        <v>225</v>
      </c>
      <c r="K12" s="75" t="s">
        <v>226</v>
      </c>
      <c r="L12" s="77" t="s">
        <v>61</v>
      </c>
      <c r="M12" s="78" t="s">
        <v>221</v>
      </c>
      <c r="N12" s="79" t="s">
        <v>62</v>
      </c>
      <c r="O12" s="80" t="s">
        <v>63</v>
      </c>
      <c r="P12" s="80" t="s">
        <v>69</v>
      </c>
      <c r="Q12" s="79" t="s">
        <v>68</v>
      </c>
      <c r="R12" s="80" t="s">
        <v>70</v>
      </c>
      <c r="S12" s="80" t="s">
        <v>247</v>
      </c>
      <c r="T12" s="80" t="s">
        <v>72</v>
      </c>
      <c r="U12" s="81" t="s">
        <v>73</v>
      </c>
      <c r="V12" s="82" t="s">
        <v>74</v>
      </c>
      <c r="W12" s="43" t="s">
        <v>75</v>
      </c>
      <c r="X12" s="43" t="s">
        <v>76</v>
      </c>
      <c r="Y12" s="79" t="s">
        <v>77</v>
      </c>
      <c r="Z12" s="80" t="s">
        <v>78</v>
      </c>
      <c r="AA12" s="80" t="s">
        <v>79</v>
      </c>
      <c r="AB12" s="80" t="s">
        <v>80</v>
      </c>
      <c r="AC12" s="80" t="s">
        <v>81</v>
      </c>
      <c r="AD12" s="79" t="s">
        <v>82</v>
      </c>
      <c r="AE12" s="80" t="s">
        <v>83</v>
      </c>
      <c r="AF12" s="80" t="s">
        <v>84</v>
      </c>
      <c r="AG12" s="79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79" t="s">
        <v>90</v>
      </c>
      <c r="AM12" s="80" t="s">
        <v>91</v>
      </c>
      <c r="AN12" s="80" t="s">
        <v>92</v>
      </c>
      <c r="AO12" s="79" t="s">
        <v>93</v>
      </c>
      <c r="AP12" s="80" t="s">
        <v>94</v>
      </c>
      <c r="AQ12" s="80" t="s">
        <v>95</v>
      </c>
      <c r="AR12" s="80" t="s">
        <v>96</v>
      </c>
      <c r="AS12" s="80" t="s">
        <v>97</v>
      </c>
      <c r="AT12" s="79" t="s">
        <v>98</v>
      </c>
      <c r="AU12" s="80" t="s">
        <v>99</v>
      </c>
      <c r="AV12" s="80" t="s">
        <v>100</v>
      </c>
      <c r="AW12" s="79" t="s">
        <v>101</v>
      </c>
      <c r="AX12" s="80" t="s">
        <v>102</v>
      </c>
      <c r="AY12" s="80" t="s">
        <v>103</v>
      </c>
      <c r="AZ12" s="80" t="s">
        <v>104</v>
      </c>
      <c r="BA12" s="80" t="s">
        <v>105</v>
      </c>
      <c r="BB12" s="79" t="s">
        <v>106</v>
      </c>
      <c r="BC12" s="80" t="s">
        <v>107</v>
      </c>
      <c r="BD12" s="80" t="s">
        <v>108</v>
      </c>
      <c r="BE12" s="79" t="s">
        <v>109</v>
      </c>
      <c r="BF12" s="80" t="s">
        <v>110</v>
      </c>
      <c r="BG12" s="80" t="s">
        <v>111</v>
      </c>
      <c r="BH12" s="80" t="s">
        <v>112</v>
      </c>
      <c r="BI12" s="80" t="s">
        <v>113</v>
      </c>
      <c r="BJ12" s="79" t="s">
        <v>114</v>
      </c>
      <c r="BK12" s="80" t="s">
        <v>115</v>
      </c>
      <c r="BL12" s="80" t="s">
        <v>116</v>
      </c>
      <c r="BM12" s="79" t="s">
        <v>117</v>
      </c>
      <c r="BN12" s="80" t="s">
        <v>118</v>
      </c>
      <c r="BO12" s="80" t="s">
        <v>119</v>
      </c>
      <c r="BP12" s="80" t="s">
        <v>120</v>
      </c>
      <c r="BQ12" s="80" t="s">
        <v>121</v>
      </c>
      <c r="BR12" s="79" t="s">
        <v>122</v>
      </c>
      <c r="BS12" s="80" t="s">
        <v>123</v>
      </c>
      <c r="BT12" s="80" t="s">
        <v>124</v>
      </c>
      <c r="BU12" s="79" t="s">
        <v>125</v>
      </c>
      <c r="BV12" s="80" t="s">
        <v>126</v>
      </c>
      <c r="BW12" s="80" t="s">
        <v>127</v>
      </c>
      <c r="BX12" s="80" t="s">
        <v>128</v>
      </c>
      <c r="BY12" s="80" t="s">
        <v>129</v>
      </c>
      <c r="BZ12" s="79" t="s">
        <v>130</v>
      </c>
      <c r="CA12" s="80" t="s">
        <v>131</v>
      </c>
      <c r="CB12" s="80" t="s">
        <v>132</v>
      </c>
      <c r="CC12" s="79" t="s">
        <v>133</v>
      </c>
      <c r="CD12" s="80" t="s">
        <v>134</v>
      </c>
      <c r="CE12" s="80" t="s">
        <v>135</v>
      </c>
      <c r="CF12" s="80" t="s">
        <v>136</v>
      </c>
      <c r="CG12" s="80" t="s">
        <v>137</v>
      </c>
      <c r="CH12" s="79" t="s">
        <v>138</v>
      </c>
      <c r="CI12" s="80" t="s">
        <v>139</v>
      </c>
      <c r="CJ12" s="80" t="s">
        <v>140</v>
      </c>
      <c r="CK12" s="79" t="s">
        <v>141</v>
      </c>
      <c r="CL12" s="80" t="s">
        <v>142</v>
      </c>
      <c r="CM12" s="80" t="s">
        <v>143</v>
      </c>
      <c r="CN12" s="80" t="s">
        <v>144</v>
      </c>
      <c r="CO12" s="80" t="s">
        <v>145</v>
      </c>
      <c r="CP12" s="79" t="s">
        <v>146</v>
      </c>
      <c r="CQ12" s="80" t="s">
        <v>147</v>
      </c>
      <c r="CR12" s="80" t="s">
        <v>148</v>
      </c>
      <c r="CS12" s="79" t="s">
        <v>149</v>
      </c>
      <c r="CT12" s="80" t="s">
        <v>150</v>
      </c>
      <c r="CU12" s="80" t="s">
        <v>151</v>
      </c>
      <c r="CV12" s="80" t="s">
        <v>152</v>
      </c>
      <c r="CW12" s="80" t="s">
        <v>153</v>
      </c>
      <c r="CX12" s="79" t="s">
        <v>154</v>
      </c>
      <c r="CY12" s="80" t="s">
        <v>155</v>
      </c>
      <c r="CZ12" s="80" t="s">
        <v>156</v>
      </c>
      <c r="DA12" s="79" t="s">
        <v>157</v>
      </c>
      <c r="DB12" s="80" t="s">
        <v>158</v>
      </c>
      <c r="DC12" s="80" t="s">
        <v>159</v>
      </c>
      <c r="DD12" s="80" t="s">
        <v>160</v>
      </c>
      <c r="DE12" s="80" t="s">
        <v>161</v>
      </c>
      <c r="DF12" s="79" t="s">
        <v>162</v>
      </c>
      <c r="DG12" s="80" t="s">
        <v>163</v>
      </c>
      <c r="DH12" s="80" t="s">
        <v>164</v>
      </c>
      <c r="DI12" s="79" t="s">
        <v>165</v>
      </c>
      <c r="DJ12" s="80" t="s">
        <v>166</v>
      </c>
      <c r="DK12" s="80" t="s">
        <v>167</v>
      </c>
      <c r="DL12" s="80" t="s">
        <v>168</v>
      </c>
      <c r="DM12" s="80" t="s">
        <v>169</v>
      </c>
      <c r="DN12" s="80" t="s">
        <v>170</v>
      </c>
      <c r="DO12" s="80" t="s">
        <v>171</v>
      </c>
      <c r="DP12" s="80" t="s">
        <v>172</v>
      </c>
      <c r="DQ12" s="79" t="s">
        <v>173</v>
      </c>
      <c r="DR12" s="80" t="s">
        <v>174</v>
      </c>
      <c r="DS12" s="80" t="s">
        <v>175</v>
      </c>
      <c r="DT12" s="80" t="s">
        <v>176</v>
      </c>
      <c r="DU12" s="80" t="s">
        <v>177</v>
      </c>
      <c r="DV12" s="79" t="s">
        <v>178</v>
      </c>
      <c r="DW12" s="80" t="s">
        <v>179</v>
      </c>
      <c r="DX12" s="80" t="s">
        <v>180</v>
      </c>
      <c r="DY12" s="79" t="s">
        <v>181</v>
      </c>
      <c r="DZ12" s="80" t="s">
        <v>182</v>
      </c>
      <c r="EA12" s="80" t="s">
        <v>183</v>
      </c>
      <c r="EB12" s="80" t="s">
        <v>184</v>
      </c>
      <c r="EC12" s="80" t="s">
        <v>185</v>
      </c>
      <c r="ED12" s="79" t="s">
        <v>186</v>
      </c>
      <c r="EE12" s="80" t="s">
        <v>187</v>
      </c>
      <c r="EF12" s="80" t="s">
        <v>188</v>
      </c>
      <c r="EG12" s="79" t="s">
        <v>189</v>
      </c>
      <c r="EH12" s="80" t="s">
        <v>190</v>
      </c>
      <c r="EI12" s="80" t="s">
        <v>191</v>
      </c>
      <c r="EJ12" s="80" t="s">
        <v>192</v>
      </c>
      <c r="EK12" s="80" t="s">
        <v>193</v>
      </c>
      <c r="EL12" s="79" t="s">
        <v>194</v>
      </c>
      <c r="EM12" s="80" t="s">
        <v>195</v>
      </c>
      <c r="EN12" s="80" t="s">
        <v>196</v>
      </c>
      <c r="EO12" s="79" t="s">
        <v>197</v>
      </c>
      <c r="EP12" s="80" t="s">
        <v>198</v>
      </c>
      <c r="EQ12" s="80" t="s">
        <v>199</v>
      </c>
      <c r="ER12" s="80" t="s">
        <v>200</v>
      </c>
      <c r="ES12" s="80" t="s">
        <v>201</v>
      </c>
      <c r="ET12" s="79" t="s">
        <v>202</v>
      </c>
      <c r="EU12" s="80" t="s">
        <v>203</v>
      </c>
      <c r="EV12" s="80" t="s">
        <v>204</v>
      </c>
      <c r="EW12" s="79" t="s">
        <v>205</v>
      </c>
      <c r="EX12" s="80" t="s">
        <v>206</v>
      </c>
      <c r="EY12" s="80" t="s">
        <v>207</v>
      </c>
      <c r="EZ12" s="80" t="s">
        <v>208</v>
      </c>
      <c r="FA12" s="80" t="s">
        <v>209</v>
      </c>
      <c r="FB12" s="79" t="s">
        <v>210</v>
      </c>
      <c r="FC12" s="80" t="s">
        <v>211</v>
      </c>
      <c r="FD12" s="80" t="s">
        <v>212</v>
      </c>
      <c r="FE12" s="79" t="s">
        <v>213</v>
      </c>
      <c r="FF12" s="80" t="s">
        <v>214</v>
      </c>
      <c r="FG12" s="80" t="s">
        <v>215</v>
      </c>
      <c r="FH12" s="80" t="s">
        <v>216</v>
      </c>
      <c r="FI12" s="80" t="s">
        <v>217</v>
      </c>
      <c r="FJ12" s="79" t="s">
        <v>218</v>
      </c>
      <c r="FK12" s="80" t="s">
        <v>219</v>
      </c>
      <c r="FL12" s="80" t="s">
        <v>220</v>
      </c>
      <c r="FM12" s="83" t="s">
        <v>227</v>
      </c>
      <c r="FN12" s="80" t="s">
        <v>228</v>
      </c>
    </row>
    <row r="13" spans="1:170" ht="15.6" x14ac:dyDescent="0.3">
      <c r="A13" s="135" t="s">
        <v>268</v>
      </c>
      <c r="B13" s="135" t="s">
        <v>269</v>
      </c>
      <c r="C13" s="135" t="s">
        <v>270</v>
      </c>
      <c r="D13" s="152">
        <v>209070147</v>
      </c>
      <c r="E13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1</v>
      </c>
      <c r="F13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3" s="136">
        <f t="shared" ref="G13:G27" si="0">SUM(K13,S13,AA13,AI13,AQ13,AY13,BG13,BO13,BW13,CE13,CM13,CU13,DC13,DK13,DS13,EA13,EI13,EQ13,EY13,FG13,)</f>
        <v>2</v>
      </c>
      <c r="H13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13" s="138"/>
      <c r="J13" s="139"/>
      <c r="K13" s="138"/>
      <c r="L13" s="139"/>
      <c r="M13" s="140"/>
      <c r="N13" s="141">
        <v>3</v>
      </c>
      <c r="O13" s="142">
        <f>IF(ISBLANK(Estudiantes3[[#This Row],[Columna10]]),Estudiantes3[[#This Row],[AJ]],Estudiantes3[[#This Row],[Columna10]])</f>
        <v>3</v>
      </c>
      <c r="P13" s="143"/>
      <c r="Q13" s="144"/>
      <c r="R13" s="145"/>
      <c r="S13" s="145"/>
      <c r="T13" s="145"/>
      <c r="U13" s="145"/>
      <c r="V13" s="146">
        <v>3</v>
      </c>
      <c r="W13" s="147">
        <f>IF(ISBLANK(Estudiantes3[[#This Row],[Columna17]]),Estudiantes3[[#This Row],[Columna19]],Estudiantes3[[#This Row],[Columna17]])</f>
        <v>3</v>
      </c>
      <c r="X13" s="148"/>
      <c r="Y13" s="145"/>
      <c r="Z13" s="145"/>
      <c r="AA13" s="145"/>
      <c r="AB13" s="145"/>
      <c r="AC13" s="145"/>
      <c r="AD13" s="149">
        <v>3</v>
      </c>
      <c r="AE13" s="142">
        <f>IF(ISBLANK(Estudiantes3[[#This Row],[Columna25]]),Estudiantes3[[#This Row],[Columna27]],Estudiantes3[[#This Row],[Columna25]])</f>
        <v>3</v>
      </c>
      <c r="AF13" s="149"/>
      <c r="AG13" s="145"/>
      <c r="AH13" s="145"/>
      <c r="AI13" s="145"/>
      <c r="AJ13" s="145"/>
      <c r="AK13" s="145"/>
      <c r="AL13" s="149">
        <v>3</v>
      </c>
      <c r="AM13" s="142">
        <f>IF(ISBLANK(Estudiantes3[[#This Row],[Columna33]]),Estudiantes3[[#This Row],[Columna35]],Estudiantes3[[#This Row],[Columna33]])</f>
        <v>3</v>
      </c>
      <c r="AN13" s="149"/>
      <c r="AO13" s="145"/>
      <c r="AP13" s="145"/>
      <c r="AQ13" s="145"/>
      <c r="AR13" s="145"/>
      <c r="AS13" s="145"/>
      <c r="AT13" s="149">
        <v>3</v>
      </c>
      <c r="AU13" s="142">
        <f>IF(ISBLANK(Estudiantes3[[#This Row],[Columna41]]),Estudiantes3[[#This Row],[Columna43]],Estudiantes3[[#This Row],[Columna41]])</f>
        <v>3</v>
      </c>
      <c r="AV13" s="149"/>
      <c r="AW13" s="145"/>
      <c r="AX13" s="145"/>
      <c r="AY13" s="145">
        <v>1</v>
      </c>
      <c r="AZ13" s="145"/>
      <c r="BA13" s="145"/>
      <c r="BB13" s="149">
        <v>3</v>
      </c>
      <c r="BC13" s="142">
        <f>IF(ISBLANK(Estudiantes3[[#This Row],[Columna49]]),Estudiantes3[[#This Row],[Columna51]],Estudiantes3[[#This Row],[Columna49]])</f>
        <v>3</v>
      </c>
      <c r="BD13" s="149"/>
      <c r="BE13" s="145"/>
      <c r="BF13" s="145"/>
      <c r="BG13" s="145"/>
      <c r="BH13" s="145"/>
      <c r="BI13" s="145"/>
      <c r="BJ13" s="149">
        <v>3</v>
      </c>
      <c r="BK13" s="142">
        <f>IF(ISBLANK(Estudiantes3[[#This Row],[Columna57]]),Estudiantes3[[#This Row],[Columna59]],Estudiantes3[[#This Row],[Columna57]])</f>
        <v>3</v>
      </c>
      <c r="BL13" s="149"/>
      <c r="BM13" s="145"/>
      <c r="BN13" s="145"/>
      <c r="BO13" s="145">
        <v>1</v>
      </c>
      <c r="BP13" s="145"/>
      <c r="BQ13" s="145"/>
      <c r="BR13" s="149">
        <v>3</v>
      </c>
      <c r="BS13" s="142">
        <f>IF(ISBLANK(Estudiantes3[[#This Row],[Columna65]]),Estudiantes3[[#This Row],[Columna67]],Estudiantes3[[#This Row],[Columna65]])</f>
        <v>3</v>
      </c>
      <c r="BT13" s="149"/>
      <c r="BU13" s="145"/>
      <c r="BV13" s="145"/>
      <c r="BW13" s="145"/>
      <c r="BX13" s="145"/>
      <c r="BY13" s="145"/>
      <c r="BZ13" s="149">
        <v>3</v>
      </c>
      <c r="CA13" s="142">
        <f>IF(ISBLANK(Estudiantes3[[#This Row],[Columna73]]),Estudiantes3[[#This Row],[Columna75]],Estudiantes3[[#This Row],[Columna73]])</f>
        <v>3</v>
      </c>
      <c r="CB13" s="149"/>
      <c r="CC13" s="145"/>
      <c r="CD13" s="145"/>
      <c r="CE13" s="145"/>
      <c r="CF13" s="145"/>
      <c r="CG13" s="145"/>
      <c r="CH13" s="149">
        <v>3</v>
      </c>
      <c r="CI13" s="142">
        <f>IF(ISBLANK(Estudiantes3[[#This Row],[Columna81]]),Estudiantes3[[#This Row],[Columna83]],Estudiantes3[[#This Row],[Columna81]])</f>
        <v>3</v>
      </c>
      <c r="CJ13" s="149"/>
      <c r="CK13" s="145"/>
      <c r="CL13" s="145"/>
      <c r="CM13" s="145"/>
      <c r="CN13" s="145"/>
      <c r="CO13" s="145"/>
      <c r="CP13" s="149">
        <v>3</v>
      </c>
      <c r="CQ13" s="142">
        <f>IF(ISBLANK(Estudiantes3[[#This Row],[Columna89]]),Estudiantes3[[#This Row],[Columna91]],Estudiantes3[[#This Row],[Columna89]])</f>
        <v>3</v>
      </c>
      <c r="CR13" s="149"/>
      <c r="CS13" s="145"/>
      <c r="CT13" s="145"/>
      <c r="CU13" s="145"/>
      <c r="CV13" s="145"/>
      <c r="CW13" s="145"/>
      <c r="CX13" s="149">
        <v>3</v>
      </c>
      <c r="CY13" s="142">
        <f>IF(ISBLANK(Estudiantes3[[#This Row],[Columna97]]),Estudiantes3[[#This Row],[Columna99]],Estudiantes3[[#This Row],[Columna97]])</f>
        <v>3</v>
      </c>
      <c r="CZ13" s="149"/>
      <c r="DA13" s="145"/>
      <c r="DB13" s="145"/>
      <c r="DC13" s="145"/>
      <c r="DD13" s="145"/>
      <c r="DE13" s="145"/>
      <c r="DF13" s="149">
        <v>3</v>
      </c>
      <c r="DG13" s="142">
        <f>IF(ISBLANK(Estudiantes3[[#This Row],[Columna105]]),Estudiantes3[[#This Row],[Columna107]],Estudiantes3[[#This Row],[Columna105]])</f>
        <v>3</v>
      </c>
      <c r="DH13" s="149"/>
      <c r="DI13" s="145">
        <v>1</v>
      </c>
      <c r="DJ13" s="145"/>
      <c r="DK13" s="145"/>
      <c r="DL13" s="145"/>
      <c r="DM13" s="145"/>
      <c r="DN13" s="149">
        <v>3</v>
      </c>
      <c r="DO13" s="142">
        <f>IF(ISBLANK(Estudiantes3[[#This Row],[Columna113]]),Estudiantes3[[#This Row],[Columna115]],Estudiantes3[[#This Row],[Columna113]])</f>
        <v>3</v>
      </c>
      <c r="DP13" s="149"/>
      <c r="DQ13" s="145"/>
      <c r="DR13" s="145"/>
      <c r="DS13" s="145"/>
      <c r="DT13" s="145"/>
      <c r="DU13" s="145"/>
      <c r="DV13" s="149">
        <v>3</v>
      </c>
      <c r="DW13" s="142">
        <f>IF(ISBLANK(Estudiantes3[[#This Row],[Columna121]]),Estudiantes3[[#This Row],[Columna123]],Estudiantes3[[#This Row],[Columna121]])</f>
        <v>3</v>
      </c>
      <c r="DX13" s="149"/>
      <c r="DY13" s="145"/>
      <c r="DZ13" s="145"/>
      <c r="EA13" s="145"/>
      <c r="EB13" s="145"/>
      <c r="EC13" s="145"/>
      <c r="ED13" s="149"/>
      <c r="EE13" s="142">
        <f>IF(ISBLANK(Estudiantes3[[#This Row],[Columna129]]),Estudiantes3[[#This Row],[Columna131]],Estudiantes3[[#This Row],[Columna129]])</f>
        <v>0</v>
      </c>
      <c r="EF13" s="149"/>
      <c r="EG13" s="145"/>
      <c r="EH13" s="145"/>
      <c r="EI13" s="145"/>
      <c r="EJ13" s="145"/>
      <c r="EK13" s="145"/>
      <c r="EL13" s="149"/>
      <c r="EM13" s="142">
        <f>IF(ISBLANK(Estudiantes3[[#This Row],[Columna137]]),Estudiantes3[[#This Row],[Columna139]],Estudiantes3[[#This Row],[Columna137]])</f>
        <v>0</v>
      </c>
      <c r="EN13" s="149"/>
      <c r="EO13" s="145"/>
      <c r="EP13" s="145"/>
      <c r="EQ13" s="145"/>
      <c r="ER13" s="145"/>
      <c r="ES13" s="145"/>
      <c r="ET13" s="149"/>
      <c r="EU13" s="142">
        <f>IF(ISBLANK(Estudiantes3[[#This Row],[Columna145]]),Estudiantes3[[#This Row],[Columna147]],Estudiantes3[[#This Row],[Columna145]])</f>
        <v>0</v>
      </c>
      <c r="EV13" s="149"/>
      <c r="EW13" s="145"/>
      <c r="EX13" s="145"/>
      <c r="EY13" s="145"/>
      <c r="EZ13" s="145"/>
      <c r="FA13" s="145"/>
      <c r="FB13" s="149"/>
      <c r="FC13" s="142">
        <f>IF(ISBLANK(Estudiantes3[[#This Row],[Columna153]]),Estudiantes3[[#This Row],[Columna155]],Estudiantes3[[#This Row],[Columna153]])</f>
        <v>0</v>
      </c>
      <c r="FD13" s="149"/>
      <c r="FE13" s="145"/>
      <c r="FF13" s="145"/>
      <c r="FG13" s="145"/>
      <c r="FH13" s="145"/>
      <c r="FI13" s="145"/>
      <c r="FJ13" s="149"/>
      <c r="FK13" s="142">
        <f>IF(ISBLANK(Estudiantes3[[#This Row],[Columna161]]),Estudiantes3[[#This Row],[Columna163]],Estudiantes3[[#This Row],[Columna161]])</f>
        <v>0</v>
      </c>
      <c r="FL13" s="149"/>
      <c r="FM13" s="150">
        <f t="shared" ref="FM13:FM27" si="1">$I$6*IF(O13=1,0.25,IF(O13=2,0.5,IF(O13=3,1,0)))+$Q$6*IF(W13=1,0.25,IF(W13=2,0.5,IF(W13=3,1,0)))+$Y$6*IF(AE13=1,0.25,IF(AE13=2,0.5,IF(AE13=3,1,0)))+$AG$6*IF(AM13=1,0.25,IF(AM13=2,0.5,IF(AM13=3,1,0)))+$AO$6*IF(AU13=1,0.25,IF(AU13=2,0.5,IF(AU13=3,1,0)))+$AW$6*IF(BC13=1,0.25,IF(BC13=2,0.5,IF(BC13=3,1,0)))+$BE$6*IF(BK13=1,0.25,IF(BK13=2,0.5,IF(BK13=3,1,0)))+$BM$6*IF(BS13=1,0.25,IF(BS13=2,0.5,IF(BS13=3,1,0)))+$BU$6*IF(CA13=1,0.25,IF(CA13=2,0.5,IF(CA13=3,1,0)))+$CC$6*IF(CI13=1,0.25,IF(CI13=2,0.5,IF(CI13=3,1,0)))+$CK$6*IF(CQ13=1,0.25,IF(CQ13=2,0.5,IF(CQ13=3,1,0)))+$CS$6*IF(CY13=1,0.25,IF(CY13=2,0.5,IF(CY13=3,1,0)))+$DA$6*IF(DG13=1,0.25,IF(DG13=2,0.5,IF(DG13=3,1,0)))+$DI$6*IF(DO13=1,0.25,IF(DO13=2,0.5,IF(DO13=3,1,0)))+$DQ$6*IF(DW13=1,0.25,IF(DW13=2,0.5,IF(DW13=3,1,0)))+$DY$6*IF(EE13=1,0.25,IF(EE13=2,0.5,IF(EE13=3,1,0)))+$EG$6*IF(EM13=1,0.25,IF(EM13=2,0.5,IF(EM13=3,1,0)))+$EO$6*IF(EU13=1,0.25,IF(EU13=2,0.5,IF(EU13=3,1,0)))+$EW$6*IF(FC13=1,0.25,IF(FC13=2,0.5,IF(FC13=3,1,0)))+$FE$6*IF(FK13=1,0.25,IF(FK13=2,0.5,IF(FK13=3,1,0)))</f>
        <v>43</v>
      </c>
      <c r="FN13" s="151"/>
    </row>
    <row r="14" spans="1:170" ht="15.6" x14ac:dyDescent="0.3">
      <c r="A14" s="135" t="s">
        <v>268</v>
      </c>
      <c r="B14" s="135" t="s">
        <v>267</v>
      </c>
      <c r="C14" s="135" t="s">
        <v>271</v>
      </c>
      <c r="D14" s="152">
        <v>209040532</v>
      </c>
      <c r="E14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4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4" s="136">
        <f t="shared" si="0"/>
        <v>0</v>
      </c>
      <c r="H14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3</v>
      </c>
      <c r="I14" s="138"/>
      <c r="J14" s="139"/>
      <c r="K14" s="138"/>
      <c r="L14" s="139"/>
      <c r="M14" s="140"/>
      <c r="N14" s="141">
        <v>3</v>
      </c>
      <c r="O14" s="142">
        <f>IF(ISBLANK(Estudiantes3[[#This Row],[Columna10]]),Estudiantes3[[#This Row],[AJ]],Estudiantes3[[#This Row],[Columna10]])</f>
        <v>3</v>
      </c>
      <c r="P14" s="143"/>
      <c r="Q14" s="144"/>
      <c r="R14" s="145"/>
      <c r="S14" s="145"/>
      <c r="T14" s="145"/>
      <c r="U14" s="145"/>
      <c r="V14" s="146">
        <v>3</v>
      </c>
      <c r="W14" s="147">
        <f>IF(ISBLANK(Estudiantes3[[#This Row],[Columna17]]),Estudiantes3[[#This Row],[Columna19]],Estudiantes3[[#This Row],[Columna17]])</f>
        <v>3</v>
      </c>
      <c r="X14" s="148"/>
      <c r="Y14" s="145"/>
      <c r="Z14" s="145"/>
      <c r="AA14" s="145"/>
      <c r="AB14" s="145"/>
      <c r="AC14" s="145"/>
      <c r="AD14" s="149">
        <v>3</v>
      </c>
      <c r="AE14" s="142">
        <f>IF(ISBLANK(Estudiantes3[[#This Row],[Columna25]]),Estudiantes3[[#This Row],[Columna27]],Estudiantes3[[#This Row],[Columna25]])</f>
        <v>3</v>
      </c>
      <c r="AF14" s="149"/>
      <c r="AG14" s="145"/>
      <c r="AH14" s="145"/>
      <c r="AI14" s="145"/>
      <c r="AJ14" s="145"/>
      <c r="AK14" s="145"/>
      <c r="AL14" s="149">
        <v>3</v>
      </c>
      <c r="AM14" s="142">
        <f>IF(ISBLANK(Estudiantes3[[#This Row],[Columna33]]),Estudiantes3[[#This Row],[Columna35]],Estudiantes3[[#This Row],[Columna33]])</f>
        <v>3</v>
      </c>
      <c r="AN14" s="149"/>
      <c r="AO14" s="145"/>
      <c r="AP14" s="145"/>
      <c r="AQ14" s="145"/>
      <c r="AR14" s="145"/>
      <c r="AS14" s="145"/>
      <c r="AT14" s="149">
        <v>3</v>
      </c>
      <c r="AU14" s="142">
        <f>IF(ISBLANK(Estudiantes3[[#This Row],[Columna41]]),Estudiantes3[[#This Row],[Columna43]],Estudiantes3[[#This Row],[Columna41]])</f>
        <v>3</v>
      </c>
      <c r="AV14" s="149"/>
      <c r="AW14" s="145"/>
      <c r="AX14" s="145"/>
      <c r="AY14" s="145"/>
      <c r="AZ14" s="145"/>
      <c r="BA14" s="145"/>
      <c r="BB14" s="149">
        <v>3</v>
      </c>
      <c r="BC14" s="142">
        <f>IF(ISBLANK(Estudiantes3[[#This Row],[Columna49]]),Estudiantes3[[#This Row],[Columna51]],Estudiantes3[[#This Row],[Columna49]])</f>
        <v>3</v>
      </c>
      <c r="BD14" s="149"/>
      <c r="BE14" s="145"/>
      <c r="BF14" s="145"/>
      <c r="BG14" s="145"/>
      <c r="BH14" s="145"/>
      <c r="BI14" s="145"/>
      <c r="BJ14" s="149">
        <v>3</v>
      </c>
      <c r="BK14" s="142">
        <f>IF(ISBLANK(Estudiantes3[[#This Row],[Columna57]]),Estudiantes3[[#This Row],[Columna59]],Estudiantes3[[#This Row],[Columna57]])</f>
        <v>3</v>
      </c>
      <c r="BL14" s="149"/>
      <c r="BM14" s="145"/>
      <c r="BN14" s="145"/>
      <c r="BO14" s="145"/>
      <c r="BP14" s="145"/>
      <c r="BQ14" s="145"/>
      <c r="BR14" s="149">
        <v>3</v>
      </c>
      <c r="BS14" s="142">
        <f>IF(ISBLANK(Estudiantes3[[#This Row],[Columna65]]),Estudiantes3[[#This Row],[Columna67]],Estudiantes3[[#This Row],[Columna65]])</f>
        <v>3</v>
      </c>
      <c r="BT14" s="149"/>
      <c r="BU14" s="145"/>
      <c r="BV14" s="145"/>
      <c r="BW14" s="145"/>
      <c r="BX14" s="145"/>
      <c r="BY14" s="145"/>
      <c r="BZ14" s="149">
        <v>3</v>
      </c>
      <c r="CA14" s="142">
        <f>IF(ISBLANK(Estudiantes3[[#This Row],[Columna73]]),Estudiantes3[[#This Row],[Columna75]],Estudiantes3[[#This Row],[Columna73]])</f>
        <v>3</v>
      </c>
      <c r="CB14" s="149"/>
      <c r="CC14" s="145">
        <v>3</v>
      </c>
      <c r="CD14" s="145"/>
      <c r="CE14" s="145"/>
      <c r="CF14" s="145">
        <v>3</v>
      </c>
      <c r="CG14" s="145"/>
      <c r="CH14" s="149">
        <v>3</v>
      </c>
      <c r="CI14" s="142">
        <f>IF(ISBLANK(Estudiantes3[[#This Row],[Columna81]]),Estudiantes3[[#This Row],[Columna83]],Estudiantes3[[#This Row],[Columna81]])</f>
        <v>3</v>
      </c>
      <c r="CJ14" s="149"/>
      <c r="CK14" s="145"/>
      <c r="CL14" s="145"/>
      <c r="CM14" s="145"/>
      <c r="CN14" s="145"/>
      <c r="CO14" s="145"/>
      <c r="CP14" s="149">
        <v>3</v>
      </c>
      <c r="CQ14" s="142">
        <f>IF(ISBLANK(Estudiantes3[[#This Row],[Columna89]]),Estudiantes3[[#This Row],[Columna91]],Estudiantes3[[#This Row],[Columna89]])</f>
        <v>3</v>
      </c>
      <c r="CR14" s="149"/>
      <c r="CS14" s="145"/>
      <c r="CT14" s="145"/>
      <c r="CU14" s="145"/>
      <c r="CV14" s="145"/>
      <c r="CW14" s="145"/>
      <c r="CX14" s="149">
        <v>3</v>
      </c>
      <c r="CY14" s="142">
        <f>IF(ISBLANK(Estudiantes3[[#This Row],[Columna97]]),Estudiantes3[[#This Row],[Columna99]],Estudiantes3[[#This Row],[Columna97]])</f>
        <v>3</v>
      </c>
      <c r="CZ14" s="149"/>
      <c r="DA14" s="145"/>
      <c r="DB14" s="145"/>
      <c r="DC14" s="145"/>
      <c r="DD14" s="145"/>
      <c r="DE14" s="145"/>
      <c r="DF14" s="149">
        <v>3</v>
      </c>
      <c r="DG14" s="142">
        <f>IF(ISBLANK(Estudiantes3[[#This Row],[Columna105]]),Estudiantes3[[#This Row],[Columna107]],Estudiantes3[[#This Row],[Columna105]])</f>
        <v>3</v>
      </c>
      <c r="DH14" s="149"/>
      <c r="DI14" s="145"/>
      <c r="DJ14" s="145"/>
      <c r="DK14" s="145"/>
      <c r="DL14" s="145"/>
      <c r="DM14" s="145"/>
      <c r="DN14" s="149">
        <v>3</v>
      </c>
      <c r="DO14" s="142">
        <f>IF(ISBLANK(Estudiantes3[[#This Row],[Columna113]]),Estudiantes3[[#This Row],[Columna115]],Estudiantes3[[#This Row],[Columna113]])</f>
        <v>3</v>
      </c>
      <c r="DP14" s="149"/>
      <c r="DQ14" s="145"/>
      <c r="DR14" s="145"/>
      <c r="DS14" s="145"/>
      <c r="DT14" s="145"/>
      <c r="DU14" s="145"/>
      <c r="DV14" s="149">
        <v>3</v>
      </c>
      <c r="DW14" s="142">
        <f>IF(ISBLANK(Estudiantes3[[#This Row],[Columna121]]),Estudiantes3[[#This Row],[Columna123]],Estudiantes3[[#This Row],[Columna121]])</f>
        <v>3</v>
      </c>
      <c r="DX14" s="149"/>
      <c r="DY14" s="145"/>
      <c r="DZ14" s="145"/>
      <c r="EA14" s="145"/>
      <c r="EB14" s="145"/>
      <c r="EC14" s="145"/>
      <c r="ED14" s="149"/>
      <c r="EE14" s="142">
        <f>IF(ISBLANK(Estudiantes3[[#This Row],[Columna129]]),Estudiantes3[[#This Row],[Columna131]],Estudiantes3[[#This Row],[Columna129]])</f>
        <v>0</v>
      </c>
      <c r="EF14" s="149"/>
      <c r="EG14" s="145"/>
      <c r="EH14" s="145"/>
      <c r="EI14" s="145"/>
      <c r="EJ14" s="145"/>
      <c r="EK14" s="145"/>
      <c r="EL14" s="149"/>
      <c r="EM14" s="142">
        <f>IF(ISBLANK(Estudiantes3[[#This Row],[Columna137]]),Estudiantes3[[#This Row],[Columna139]],Estudiantes3[[#This Row],[Columna137]])</f>
        <v>0</v>
      </c>
      <c r="EN14" s="149"/>
      <c r="EO14" s="145"/>
      <c r="EP14" s="145"/>
      <c r="EQ14" s="145"/>
      <c r="ER14" s="145"/>
      <c r="ES14" s="145"/>
      <c r="ET14" s="149"/>
      <c r="EU14" s="142">
        <f>IF(ISBLANK(Estudiantes3[[#This Row],[Columna145]]),Estudiantes3[[#This Row],[Columna147]],Estudiantes3[[#This Row],[Columna145]])</f>
        <v>0</v>
      </c>
      <c r="EV14" s="149"/>
      <c r="EW14" s="145"/>
      <c r="EX14" s="145"/>
      <c r="EY14" s="145"/>
      <c r="EZ14" s="145"/>
      <c r="FA14" s="145"/>
      <c r="FB14" s="149"/>
      <c r="FC14" s="142">
        <f>IF(ISBLANK(Estudiantes3[[#This Row],[Columna153]]),Estudiantes3[[#This Row],[Columna155]],Estudiantes3[[#This Row],[Columna153]])</f>
        <v>0</v>
      </c>
      <c r="FD14" s="149"/>
      <c r="FE14" s="145"/>
      <c r="FF14" s="145"/>
      <c r="FG14" s="145"/>
      <c r="FH14" s="145"/>
      <c r="FI14" s="145"/>
      <c r="FJ14" s="149"/>
      <c r="FK14" s="142">
        <f>IF(ISBLANK(Estudiantes3[[#This Row],[Columna161]]),Estudiantes3[[#This Row],[Columna163]],Estudiantes3[[#This Row],[Columna161]])</f>
        <v>0</v>
      </c>
      <c r="FL14" s="149"/>
      <c r="FM14" s="150">
        <f t="shared" si="1"/>
        <v>43</v>
      </c>
      <c r="FN14" s="151"/>
    </row>
    <row r="15" spans="1:170" ht="15.6" x14ac:dyDescent="0.3">
      <c r="A15" s="135" t="s">
        <v>272</v>
      </c>
      <c r="B15" s="135" t="s">
        <v>273</v>
      </c>
      <c r="C15" s="135" t="s">
        <v>274</v>
      </c>
      <c r="D15" s="152">
        <v>120100787</v>
      </c>
      <c r="E15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5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5" s="136">
        <f t="shared" si="0"/>
        <v>0</v>
      </c>
      <c r="H15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15" s="138"/>
      <c r="J15" s="139"/>
      <c r="K15" s="138"/>
      <c r="L15" s="139"/>
      <c r="M15" s="140"/>
      <c r="N15" s="141">
        <v>3</v>
      </c>
      <c r="O15" s="142">
        <f>IF(ISBLANK(Estudiantes3[[#This Row],[Columna10]]),Estudiantes3[[#This Row],[AJ]],Estudiantes3[[#This Row],[Columna10]])</f>
        <v>3</v>
      </c>
      <c r="P15" s="143"/>
      <c r="Q15" s="144"/>
      <c r="R15" s="145"/>
      <c r="S15" s="145"/>
      <c r="T15" s="145"/>
      <c r="U15" s="145"/>
      <c r="V15" s="146">
        <v>3</v>
      </c>
      <c r="W15" s="147">
        <f>IF(ISBLANK(Estudiantes3[[#This Row],[Columna17]]),Estudiantes3[[#This Row],[Columna19]],Estudiantes3[[#This Row],[Columna17]])</f>
        <v>3</v>
      </c>
      <c r="X15" s="148"/>
      <c r="Y15" s="145"/>
      <c r="Z15" s="145"/>
      <c r="AA15" s="145"/>
      <c r="AB15" s="145"/>
      <c r="AC15" s="145"/>
      <c r="AD15" s="149">
        <v>3</v>
      </c>
      <c r="AE15" s="142">
        <f>IF(ISBLANK(Estudiantes3[[#This Row],[Columna25]]),Estudiantes3[[#This Row],[Columna27]],Estudiantes3[[#This Row],[Columna25]])</f>
        <v>3</v>
      </c>
      <c r="AF15" s="149"/>
      <c r="AG15" s="145"/>
      <c r="AH15" s="145"/>
      <c r="AI15" s="145"/>
      <c r="AJ15" s="145"/>
      <c r="AK15" s="145"/>
      <c r="AL15" s="149">
        <v>3</v>
      </c>
      <c r="AM15" s="142">
        <f>IF(ISBLANK(Estudiantes3[[#This Row],[Columna33]]),Estudiantes3[[#This Row],[Columna35]],Estudiantes3[[#This Row],[Columna33]])</f>
        <v>3</v>
      </c>
      <c r="AN15" s="149"/>
      <c r="AO15" s="145"/>
      <c r="AP15" s="145"/>
      <c r="AQ15" s="145"/>
      <c r="AR15" s="145"/>
      <c r="AS15" s="145"/>
      <c r="AT15" s="149">
        <v>3</v>
      </c>
      <c r="AU15" s="142">
        <f>IF(ISBLANK(Estudiantes3[[#This Row],[Columna41]]),Estudiantes3[[#This Row],[Columna43]],Estudiantes3[[#This Row],[Columna41]])</f>
        <v>3</v>
      </c>
      <c r="AV15" s="149"/>
      <c r="AW15" s="145"/>
      <c r="AX15" s="145"/>
      <c r="AY15" s="145"/>
      <c r="AZ15" s="145"/>
      <c r="BA15" s="145"/>
      <c r="BB15" s="149">
        <v>3</v>
      </c>
      <c r="BC15" s="142">
        <f>IF(ISBLANK(Estudiantes3[[#This Row],[Columna49]]),Estudiantes3[[#This Row],[Columna51]],Estudiantes3[[#This Row],[Columna49]])</f>
        <v>3</v>
      </c>
      <c r="BD15" s="149"/>
      <c r="BE15" s="145"/>
      <c r="BF15" s="145"/>
      <c r="BG15" s="145"/>
      <c r="BH15" s="145"/>
      <c r="BI15" s="145"/>
      <c r="BJ15" s="149">
        <v>3</v>
      </c>
      <c r="BK15" s="142">
        <f>IF(ISBLANK(Estudiantes3[[#This Row],[Columna57]]),Estudiantes3[[#This Row],[Columna59]],Estudiantes3[[#This Row],[Columna57]])</f>
        <v>3</v>
      </c>
      <c r="BL15" s="149"/>
      <c r="BM15" s="145"/>
      <c r="BN15" s="145"/>
      <c r="BO15" s="145"/>
      <c r="BP15" s="145"/>
      <c r="BQ15" s="145"/>
      <c r="BR15" s="149">
        <v>3</v>
      </c>
      <c r="BS15" s="142">
        <f>IF(ISBLANK(Estudiantes3[[#This Row],[Columna65]]),Estudiantes3[[#This Row],[Columna67]],Estudiantes3[[#This Row],[Columna65]])</f>
        <v>3</v>
      </c>
      <c r="BT15" s="149"/>
      <c r="BU15" s="145"/>
      <c r="BV15" s="145"/>
      <c r="BW15" s="145"/>
      <c r="BX15" s="145"/>
      <c r="BY15" s="145"/>
      <c r="BZ15" s="149">
        <v>3</v>
      </c>
      <c r="CA15" s="142">
        <f>IF(ISBLANK(Estudiantes3[[#This Row],[Columna73]]),Estudiantes3[[#This Row],[Columna75]],Estudiantes3[[#This Row],[Columna73]])</f>
        <v>3</v>
      </c>
      <c r="CB15" s="149"/>
      <c r="CC15" s="145"/>
      <c r="CD15" s="145"/>
      <c r="CE15" s="145"/>
      <c r="CF15" s="145"/>
      <c r="CG15" s="145"/>
      <c r="CH15" s="149">
        <v>3</v>
      </c>
      <c r="CI15" s="142">
        <f>IF(ISBLANK(Estudiantes3[[#This Row],[Columna81]]),Estudiantes3[[#This Row],[Columna83]],Estudiantes3[[#This Row],[Columna81]])</f>
        <v>3</v>
      </c>
      <c r="CJ15" s="149"/>
      <c r="CK15" s="145"/>
      <c r="CL15" s="145"/>
      <c r="CM15" s="145"/>
      <c r="CN15" s="145"/>
      <c r="CO15" s="145"/>
      <c r="CP15" s="149">
        <v>3</v>
      </c>
      <c r="CQ15" s="142">
        <f>IF(ISBLANK(Estudiantes3[[#This Row],[Columna89]]),Estudiantes3[[#This Row],[Columna91]],Estudiantes3[[#This Row],[Columna89]])</f>
        <v>3</v>
      </c>
      <c r="CR15" s="149"/>
      <c r="CS15" s="145"/>
      <c r="CT15" s="145"/>
      <c r="CU15" s="145"/>
      <c r="CV15" s="145"/>
      <c r="CW15" s="145"/>
      <c r="CX15" s="149">
        <v>3</v>
      </c>
      <c r="CY15" s="142">
        <f>IF(ISBLANK(Estudiantes3[[#This Row],[Columna97]]),Estudiantes3[[#This Row],[Columna99]],Estudiantes3[[#This Row],[Columna97]])</f>
        <v>3</v>
      </c>
      <c r="CZ15" s="149"/>
      <c r="DA15" s="145"/>
      <c r="DB15" s="145"/>
      <c r="DC15" s="145"/>
      <c r="DD15" s="145"/>
      <c r="DE15" s="145"/>
      <c r="DF15" s="149">
        <v>3</v>
      </c>
      <c r="DG15" s="142">
        <f>IF(ISBLANK(Estudiantes3[[#This Row],[Columna105]]),Estudiantes3[[#This Row],[Columna107]],Estudiantes3[[#This Row],[Columna105]])</f>
        <v>3</v>
      </c>
      <c r="DH15" s="149"/>
      <c r="DI15" s="145"/>
      <c r="DJ15" s="145"/>
      <c r="DK15" s="145"/>
      <c r="DL15" s="145"/>
      <c r="DM15" s="145"/>
      <c r="DN15" s="149">
        <v>3</v>
      </c>
      <c r="DO15" s="142">
        <f>IF(ISBLANK(Estudiantes3[[#This Row],[Columna113]]),Estudiantes3[[#This Row],[Columna115]],Estudiantes3[[#This Row],[Columna113]])</f>
        <v>3</v>
      </c>
      <c r="DP15" s="149"/>
      <c r="DQ15" s="145"/>
      <c r="DR15" s="145"/>
      <c r="DS15" s="145"/>
      <c r="DT15" s="145"/>
      <c r="DU15" s="145"/>
      <c r="DV15" s="149">
        <v>3</v>
      </c>
      <c r="DW15" s="142">
        <f>IF(ISBLANK(Estudiantes3[[#This Row],[Columna121]]),Estudiantes3[[#This Row],[Columna123]],Estudiantes3[[#This Row],[Columna121]])</f>
        <v>3</v>
      </c>
      <c r="DX15" s="149"/>
      <c r="DY15" s="145"/>
      <c r="DZ15" s="145"/>
      <c r="EA15" s="145"/>
      <c r="EB15" s="145"/>
      <c r="EC15" s="145"/>
      <c r="ED15" s="149"/>
      <c r="EE15" s="142">
        <f>IF(ISBLANK(Estudiantes3[[#This Row],[Columna129]]),Estudiantes3[[#This Row],[Columna131]],Estudiantes3[[#This Row],[Columna129]])</f>
        <v>0</v>
      </c>
      <c r="EF15" s="149"/>
      <c r="EG15" s="145"/>
      <c r="EH15" s="145"/>
      <c r="EI15" s="145"/>
      <c r="EJ15" s="145"/>
      <c r="EK15" s="145"/>
      <c r="EL15" s="149"/>
      <c r="EM15" s="142">
        <f>IF(ISBLANK(Estudiantes3[[#This Row],[Columna137]]),Estudiantes3[[#This Row],[Columna139]],Estudiantes3[[#This Row],[Columna137]])</f>
        <v>0</v>
      </c>
      <c r="EN15" s="149"/>
      <c r="EO15" s="145"/>
      <c r="EP15" s="145"/>
      <c r="EQ15" s="145"/>
      <c r="ER15" s="145"/>
      <c r="ES15" s="145"/>
      <c r="ET15" s="149"/>
      <c r="EU15" s="142">
        <f>IF(ISBLANK(Estudiantes3[[#This Row],[Columna145]]),Estudiantes3[[#This Row],[Columna147]],Estudiantes3[[#This Row],[Columna145]])</f>
        <v>0</v>
      </c>
      <c r="EV15" s="149"/>
      <c r="EW15" s="145"/>
      <c r="EX15" s="145"/>
      <c r="EY15" s="145"/>
      <c r="EZ15" s="145"/>
      <c r="FA15" s="145"/>
      <c r="FB15" s="149"/>
      <c r="FC15" s="142">
        <f>IF(ISBLANK(Estudiantes3[[#This Row],[Columna153]]),Estudiantes3[[#This Row],[Columna155]],Estudiantes3[[#This Row],[Columna153]])</f>
        <v>0</v>
      </c>
      <c r="FD15" s="149"/>
      <c r="FE15" s="145"/>
      <c r="FF15" s="145"/>
      <c r="FG15" s="145"/>
      <c r="FH15" s="145"/>
      <c r="FI15" s="145"/>
      <c r="FJ15" s="149"/>
      <c r="FK15" s="142">
        <f>IF(ISBLANK(Estudiantes3[[#This Row],[Columna161]]),Estudiantes3[[#This Row],[Columna163]],Estudiantes3[[#This Row],[Columna161]])</f>
        <v>0</v>
      </c>
      <c r="FL15" s="149"/>
      <c r="FM15" s="150">
        <f t="shared" si="1"/>
        <v>43</v>
      </c>
      <c r="FN15" s="151"/>
    </row>
    <row r="16" spans="1:170" ht="15.6" x14ac:dyDescent="0.3">
      <c r="A16" s="135" t="s">
        <v>275</v>
      </c>
      <c r="B16" s="135" t="s">
        <v>276</v>
      </c>
      <c r="C16" s="135" t="s">
        <v>277</v>
      </c>
      <c r="D16" s="152">
        <v>209010382</v>
      </c>
      <c r="E16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6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6" s="136">
        <f t="shared" si="0"/>
        <v>0</v>
      </c>
      <c r="H16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16" s="138"/>
      <c r="J16" s="139"/>
      <c r="K16" s="138"/>
      <c r="L16" s="139"/>
      <c r="M16" s="140"/>
      <c r="N16" s="141">
        <v>3</v>
      </c>
      <c r="O16" s="142">
        <f>IF(ISBLANK(Estudiantes3[[#This Row],[Columna10]]),Estudiantes3[[#This Row],[AJ]],Estudiantes3[[#This Row],[Columna10]])</f>
        <v>3</v>
      </c>
      <c r="P16" s="143"/>
      <c r="Q16" s="144"/>
      <c r="R16" s="145"/>
      <c r="S16" s="145"/>
      <c r="T16" s="145"/>
      <c r="U16" s="145"/>
      <c r="V16" s="146">
        <v>3</v>
      </c>
      <c r="W16" s="147">
        <f>IF(ISBLANK(Estudiantes3[[#This Row],[Columna17]]),Estudiantes3[[#This Row],[Columna19]],Estudiantes3[[#This Row],[Columna17]])</f>
        <v>3</v>
      </c>
      <c r="X16" s="148"/>
      <c r="Y16" s="145"/>
      <c r="Z16" s="145"/>
      <c r="AA16" s="145"/>
      <c r="AB16" s="145"/>
      <c r="AC16" s="145"/>
      <c r="AD16" s="149">
        <v>3</v>
      </c>
      <c r="AE16" s="142">
        <f>IF(ISBLANK(Estudiantes3[[#This Row],[Columna25]]),Estudiantes3[[#This Row],[Columna27]],Estudiantes3[[#This Row],[Columna25]])</f>
        <v>3</v>
      </c>
      <c r="AF16" s="149"/>
      <c r="AG16" s="145"/>
      <c r="AH16" s="145"/>
      <c r="AI16" s="145"/>
      <c r="AJ16" s="145"/>
      <c r="AK16" s="145"/>
      <c r="AL16" s="149">
        <v>3</v>
      </c>
      <c r="AM16" s="142">
        <f>IF(ISBLANK(Estudiantes3[[#This Row],[Columna33]]),Estudiantes3[[#This Row],[Columna35]],Estudiantes3[[#This Row],[Columna33]])</f>
        <v>3</v>
      </c>
      <c r="AN16" s="149"/>
      <c r="AO16" s="145"/>
      <c r="AP16" s="145"/>
      <c r="AQ16" s="145"/>
      <c r="AR16" s="145"/>
      <c r="AS16" s="145"/>
      <c r="AT16" s="149">
        <v>3</v>
      </c>
      <c r="AU16" s="142">
        <f>IF(ISBLANK(Estudiantes3[[#This Row],[Columna41]]),Estudiantes3[[#This Row],[Columna43]],Estudiantes3[[#This Row],[Columna41]])</f>
        <v>3</v>
      </c>
      <c r="AV16" s="149"/>
      <c r="AW16" s="145"/>
      <c r="AX16" s="145"/>
      <c r="AY16" s="145"/>
      <c r="AZ16" s="145"/>
      <c r="BA16" s="145"/>
      <c r="BB16" s="149">
        <v>3</v>
      </c>
      <c r="BC16" s="142">
        <f>IF(ISBLANK(Estudiantes3[[#This Row],[Columna49]]),Estudiantes3[[#This Row],[Columna51]],Estudiantes3[[#This Row],[Columna49]])</f>
        <v>3</v>
      </c>
      <c r="BD16" s="149"/>
      <c r="BE16" s="145"/>
      <c r="BF16" s="145"/>
      <c r="BG16" s="145"/>
      <c r="BH16" s="145"/>
      <c r="BI16" s="145"/>
      <c r="BJ16" s="149">
        <v>3</v>
      </c>
      <c r="BK16" s="142">
        <f>IF(ISBLANK(Estudiantes3[[#This Row],[Columna57]]),Estudiantes3[[#This Row],[Columna59]],Estudiantes3[[#This Row],[Columna57]])</f>
        <v>3</v>
      </c>
      <c r="BL16" s="149"/>
      <c r="BM16" s="145"/>
      <c r="BN16" s="145"/>
      <c r="BO16" s="145"/>
      <c r="BP16" s="145"/>
      <c r="BQ16" s="145"/>
      <c r="BR16" s="149">
        <v>3</v>
      </c>
      <c r="BS16" s="142">
        <f>IF(ISBLANK(Estudiantes3[[#This Row],[Columna65]]),Estudiantes3[[#This Row],[Columna67]],Estudiantes3[[#This Row],[Columna65]])</f>
        <v>3</v>
      </c>
      <c r="BT16" s="149"/>
      <c r="BU16" s="145"/>
      <c r="BV16" s="145"/>
      <c r="BW16" s="145"/>
      <c r="BX16" s="145"/>
      <c r="BY16" s="145"/>
      <c r="BZ16" s="149">
        <v>3</v>
      </c>
      <c r="CA16" s="142">
        <f>IF(ISBLANK(Estudiantes3[[#This Row],[Columna73]]),Estudiantes3[[#This Row],[Columna75]],Estudiantes3[[#This Row],[Columna73]])</f>
        <v>3</v>
      </c>
      <c r="CB16" s="149"/>
      <c r="CC16" s="145"/>
      <c r="CD16" s="145"/>
      <c r="CE16" s="145"/>
      <c r="CF16" s="145"/>
      <c r="CG16" s="145"/>
      <c r="CH16" s="149">
        <v>3</v>
      </c>
      <c r="CI16" s="142">
        <f>IF(ISBLANK(Estudiantes3[[#This Row],[Columna81]]),Estudiantes3[[#This Row],[Columna83]],Estudiantes3[[#This Row],[Columna81]])</f>
        <v>3</v>
      </c>
      <c r="CJ16" s="149"/>
      <c r="CK16" s="145"/>
      <c r="CL16" s="145"/>
      <c r="CM16" s="145"/>
      <c r="CN16" s="145"/>
      <c r="CO16" s="145"/>
      <c r="CP16" s="149">
        <v>3</v>
      </c>
      <c r="CQ16" s="142">
        <f>IF(ISBLANK(Estudiantes3[[#This Row],[Columna89]]),Estudiantes3[[#This Row],[Columna91]],Estudiantes3[[#This Row],[Columna89]])</f>
        <v>3</v>
      </c>
      <c r="CR16" s="149"/>
      <c r="CS16" s="145"/>
      <c r="CT16" s="145"/>
      <c r="CU16" s="145"/>
      <c r="CV16" s="145"/>
      <c r="CW16" s="145"/>
      <c r="CX16" s="149">
        <v>3</v>
      </c>
      <c r="CY16" s="142">
        <f>IF(ISBLANK(Estudiantes3[[#This Row],[Columna97]]),Estudiantes3[[#This Row],[Columna99]],Estudiantes3[[#This Row],[Columna97]])</f>
        <v>3</v>
      </c>
      <c r="CZ16" s="149"/>
      <c r="DA16" s="145"/>
      <c r="DB16" s="145"/>
      <c r="DC16" s="145"/>
      <c r="DD16" s="145"/>
      <c r="DE16" s="145"/>
      <c r="DF16" s="149">
        <v>3</v>
      </c>
      <c r="DG16" s="142">
        <f>IF(ISBLANK(Estudiantes3[[#This Row],[Columna105]]),Estudiantes3[[#This Row],[Columna107]],Estudiantes3[[#This Row],[Columna105]])</f>
        <v>3</v>
      </c>
      <c r="DH16" s="149"/>
      <c r="DI16" s="145"/>
      <c r="DJ16" s="145"/>
      <c r="DK16" s="145"/>
      <c r="DL16" s="145"/>
      <c r="DM16" s="145"/>
      <c r="DN16" s="149">
        <v>3</v>
      </c>
      <c r="DO16" s="142">
        <f>IF(ISBLANK(Estudiantes3[[#This Row],[Columna113]]),Estudiantes3[[#This Row],[Columna115]],Estudiantes3[[#This Row],[Columna113]])</f>
        <v>3</v>
      </c>
      <c r="DP16" s="149"/>
      <c r="DQ16" s="145"/>
      <c r="DR16" s="145"/>
      <c r="DS16" s="145"/>
      <c r="DT16" s="145"/>
      <c r="DU16" s="145"/>
      <c r="DV16" s="149">
        <v>3</v>
      </c>
      <c r="DW16" s="142">
        <f>IF(ISBLANK(Estudiantes3[[#This Row],[Columna121]]),Estudiantes3[[#This Row],[Columna123]],Estudiantes3[[#This Row],[Columna121]])</f>
        <v>3</v>
      </c>
      <c r="DX16" s="149"/>
      <c r="DY16" s="145"/>
      <c r="DZ16" s="145"/>
      <c r="EA16" s="145"/>
      <c r="EB16" s="145"/>
      <c r="EC16" s="145"/>
      <c r="ED16" s="149"/>
      <c r="EE16" s="142">
        <f>IF(ISBLANK(Estudiantes3[[#This Row],[Columna129]]),Estudiantes3[[#This Row],[Columna131]],Estudiantes3[[#This Row],[Columna129]])</f>
        <v>0</v>
      </c>
      <c r="EF16" s="149"/>
      <c r="EG16" s="145"/>
      <c r="EH16" s="145"/>
      <c r="EI16" s="145"/>
      <c r="EJ16" s="145"/>
      <c r="EK16" s="145"/>
      <c r="EL16" s="149"/>
      <c r="EM16" s="142">
        <f>IF(ISBLANK(Estudiantes3[[#This Row],[Columna137]]),Estudiantes3[[#This Row],[Columna139]],Estudiantes3[[#This Row],[Columna137]])</f>
        <v>0</v>
      </c>
      <c r="EN16" s="149"/>
      <c r="EO16" s="145"/>
      <c r="EP16" s="145"/>
      <c r="EQ16" s="145"/>
      <c r="ER16" s="145"/>
      <c r="ES16" s="145"/>
      <c r="ET16" s="149"/>
      <c r="EU16" s="142">
        <f>IF(ISBLANK(Estudiantes3[[#This Row],[Columna145]]),Estudiantes3[[#This Row],[Columna147]],Estudiantes3[[#This Row],[Columna145]])</f>
        <v>0</v>
      </c>
      <c r="EV16" s="149"/>
      <c r="EW16" s="145"/>
      <c r="EX16" s="145"/>
      <c r="EY16" s="145"/>
      <c r="EZ16" s="145"/>
      <c r="FA16" s="145"/>
      <c r="FB16" s="149"/>
      <c r="FC16" s="142">
        <f>IF(ISBLANK(Estudiantes3[[#This Row],[Columna153]]),Estudiantes3[[#This Row],[Columna155]],Estudiantes3[[#This Row],[Columna153]])</f>
        <v>0</v>
      </c>
      <c r="FD16" s="149"/>
      <c r="FE16" s="145"/>
      <c r="FF16" s="145"/>
      <c r="FG16" s="145"/>
      <c r="FH16" s="145"/>
      <c r="FI16" s="145"/>
      <c r="FJ16" s="149"/>
      <c r="FK16" s="142">
        <f>IF(ISBLANK(Estudiantes3[[#This Row],[Columna161]]),Estudiantes3[[#This Row],[Columna163]],Estudiantes3[[#This Row],[Columna161]])</f>
        <v>0</v>
      </c>
      <c r="FL16" s="149"/>
      <c r="FM16" s="150">
        <f t="shared" si="1"/>
        <v>43</v>
      </c>
      <c r="FN16" s="151"/>
    </row>
    <row r="17" spans="1:170" ht="16.95" customHeight="1" x14ac:dyDescent="0.3">
      <c r="A17" s="135" t="s">
        <v>275</v>
      </c>
      <c r="B17" s="135" t="s">
        <v>278</v>
      </c>
      <c r="C17" s="135" t="s">
        <v>279</v>
      </c>
      <c r="D17" s="152">
        <v>209050852</v>
      </c>
      <c r="E17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7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7" s="136">
        <f t="shared" si="0"/>
        <v>1</v>
      </c>
      <c r="H17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17" s="138"/>
      <c r="J17" s="139"/>
      <c r="K17" s="138"/>
      <c r="L17" s="139"/>
      <c r="M17" s="140"/>
      <c r="N17" s="141">
        <v>3</v>
      </c>
      <c r="O17" s="142">
        <f>IF(ISBLANK(Estudiantes3[[#This Row],[Columna10]]),Estudiantes3[[#This Row],[AJ]],Estudiantes3[[#This Row],[Columna10]])</f>
        <v>3</v>
      </c>
      <c r="P17" s="143"/>
      <c r="Q17" s="144"/>
      <c r="R17" s="145"/>
      <c r="S17" s="145"/>
      <c r="T17" s="145"/>
      <c r="U17" s="145"/>
      <c r="V17" s="146">
        <v>3</v>
      </c>
      <c r="W17" s="147">
        <f>IF(ISBLANK(Estudiantes3[[#This Row],[Columna17]]),Estudiantes3[[#This Row],[Columna19]],Estudiantes3[[#This Row],[Columna17]])</f>
        <v>3</v>
      </c>
      <c r="X17" s="148"/>
      <c r="Y17" s="145"/>
      <c r="Z17" s="145"/>
      <c r="AA17" s="145"/>
      <c r="AB17" s="145"/>
      <c r="AC17" s="145"/>
      <c r="AD17" s="149">
        <v>3</v>
      </c>
      <c r="AE17" s="142">
        <f>IF(ISBLANK(Estudiantes3[[#This Row],[Columna25]]),Estudiantes3[[#This Row],[Columna27]],Estudiantes3[[#This Row],[Columna25]])</f>
        <v>3</v>
      </c>
      <c r="AF17" s="149"/>
      <c r="AG17" s="145"/>
      <c r="AH17" s="145"/>
      <c r="AI17" s="145"/>
      <c r="AJ17" s="145"/>
      <c r="AK17" s="145"/>
      <c r="AL17" s="149">
        <v>3</v>
      </c>
      <c r="AM17" s="142">
        <f>IF(ISBLANK(Estudiantes3[[#This Row],[Columna33]]),Estudiantes3[[#This Row],[Columna35]],Estudiantes3[[#This Row],[Columna33]])</f>
        <v>3</v>
      </c>
      <c r="AN17" s="149"/>
      <c r="AO17" s="145"/>
      <c r="AP17" s="145"/>
      <c r="AQ17" s="145"/>
      <c r="AR17" s="145"/>
      <c r="AS17" s="145"/>
      <c r="AT17" s="149">
        <v>3</v>
      </c>
      <c r="AU17" s="142">
        <f>IF(ISBLANK(Estudiantes3[[#This Row],[Columna41]]),Estudiantes3[[#This Row],[Columna43]],Estudiantes3[[#This Row],[Columna41]])</f>
        <v>3</v>
      </c>
      <c r="AV17" s="149"/>
      <c r="AW17" s="145"/>
      <c r="AX17" s="145"/>
      <c r="AY17" s="145"/>
      <c r="AZ17" s="145"/>
      <c r="BA17" s="145"/>
      <c r="BB17" s="149">
        <v>3</v>
      </c>
      <c r="BC17" s="142">
        <f>IF(ISBLANK(Estudiantes3[[#This Row],[Columna49]]),Estudiantes3[[#This Row],[Columna51]],Estudiantes3[[#This Row],[Columna49]])</f>
        <v>3</v>
      </c>
      <c r="BD17" s="149"/>
      <c r="BE17" s="145"/>
      <c r="BF17" s="145"/>
      <c r="BG17" s="145"/>
      <c r="BH17" s="145"/>
      <c r="BI17" s="145"/>
      <c r="BJ17" s="149">
        <v>3</v>
      </c>
      <c r="BK17" s="142">
        <f>IF(ISBLANK(Estudiantes3[[#This Row],[Columna57]]),Estudiantes3[[#This Row],[Columna59]],Estudiantes3[[#This Row],[Columna57]])</f>
        <v>3</v>
      </c>
      <c r="BL17" s="149"/>
      <c r="BM17" s="145"/>
      <c r="BN17" s="145"/>
      <c r="BO17" s="145"/>
      <c r="BP17" s="145"/>
      <c r="BQ17" s="145"/>
      <c r="BR17" s="149">
        <v>3</v>
      </c>
      <c r="BS17" s="142">
        <f>IF(ISBLANK(Estudiantes3[[#This Row],[Columna65]]),Estudiantes3[[#This Row],[Columna67]],Estudiantes3[[#This Row],[Columna65]])</f>
        <v>3</v>
      </c>
      <c r="BT17" s="149"/>
      <c r="BU17" s="145"/>
      <c r="BV17" s="145"/>
      <c r="BW17" s="145"/>
      <c r="BX17" s="145"/>
      <c r="BY17" s="145"/>
      <c r="BZ17" s="149">
        <v>3</v>
      </c>
      <c r="CA17" s="142">
        <f>IF(ISBLANK(Estudiantes3[[#This Row],[Columna73]]),Estudiantes3[[#This Row],[Columna75]],Estudiantes3[[#This Row],[Columna73]])</f>
        <v>3</v>
      </c>
      <c r="CB17" s="149"/>
      <c r="CC17" s="145"/>
      <c r="CD17" s="145"/>
      <c r="CE17" s="145">
        <v>1</v>
      </c>
      <c r="CF17" s="145"/>
      <c r="CG17" s="145"/>
      <c r="CH17" s="149">
        <v>3</v>
      </c>
      <c r="CI17" s="142">
        <f>IF(ISBLANK(Estudiantes3[[#This Row],[Columna81]]),Estudiantes3[[#This Row],[Columna83]],Estudiantes3[[#This Row],[Columna81]])</f>
        <v>3</v>
      </c>
      <c r="CJ17" s="149"/>
      <c r="CK17" s="145"/>
      <c r="CL17" s="145"/>
      <c r="CM17" s="145"/>
      <c r="CN17" s="145"/>
      <c r="CO17" s="145"/>
      <c r="CP17" s="149">
        <v>3</v>
      </c>
      <c r="CQ17" s="142">
        <f>IF(ISBLANK(Estudiantes3[[#This Row],[Columna89]]),Estudiantes3[[#This Row],[Columna91]],Estudiantes3[[#This Row],[Columna89]])</f>
        <v>3</v>
      </c>
      <c r="CR17" s="149"/>
      <c r="CS17" s="145"/>
      <c r="CT17" s="145"/>
      <c r="CU17" s="145"/>
      <c r="CV17" s="145"/>
      <c r="CW17" s="145"/>
      <c r="CX17" s="149">
        <v>3</v>
      </c>
      <c r="CY17" s="142">
        <f>IF(ISBLANK(Estudiantes3[[#This Row],[Columna97]]),Estudiantes3[[#This Row],[Columna99]],Estudiantes3[[#This Row],[Columna97]])</f>
        <v>3</v>
      </c>
      <c r="CZ17" s="149"/>
      <c r="DA17" s="145"/>
      <c r="DB17" s="145"/>
      <c r="DC17" s="145"/>
      <c r="DD17" s="145"/>
      <c r="DE17" s="145"/>
      <c r="DF17" s="149">
        <v>3</v>
      </c>
      <c r="DG17" s="142">
        <f>IF(ISBLANK(Estudiantes3[[#This Row],[Columna105]]),Estudiantes3[[#This Row],[Columna107]],Estudiantes3[[#This Row],[Columna105]])</f>
        <v>3</v>
      </c>
      <c r="DH17" s="149"/>
      <c r="DI17" s="145"/>
      <c r="DJ17" s="145"/>
      <c r="DK17" s="145"/>
      <c r="DL17" s="145"/>
      <c r="DM17" s="145"/>
      <c r="DN17" s="149">
        <v>3</v>
      </c>
      <c r="DO17" s="142">
        <f>IF(ISBLANK(Estudiantes3[[#This Row],[Columna113]]),Estudiantes3[[#This Row],[Columna115]],Estudiantes3[[#This Row],[Columna113]])</f>
        <v>3</v>
      </c>
      <c r="DP17" s="149"/>
      <c r="DQ17" s="145"/>
      <c r="DR17" s="145"/>
      <c r="DS17" s="145"/>
      <c r="DT17" s="145"/>
      <c r="DU17" s="145"/>
      <c r="DV17" s="149">
        <v>3</v>
      </c>
      <c r="DW17" s="142">
        <f>IF(ISBLANK(Estudiantes3[[#This Row],[Columna121]]),Estudiantes3[[#This Row],[Columna123]],Estudiantes3[[#This Row],[Columna121]])</f>
        <v>3</v>
      </c>
      <c r="DX17" s="149"/>
      <c r="DY17" s="145"/>
      <c r="DZ17" s="145"/>
      <c r="EA17" s="145"/>
      <c r="EB17" s="145"/>
      <c r="EC17" s="145"/>
      <c r="ED17" s="149"/>
      <c r="EE17" s="142">
        <f>IF(ISBLANK(Estudiantes3[[#This Row],[Columna129]]),Estudiantes3[[#This Row],[Columna131]],Estudiantes3[[#This Row],[Columna129]])</f>
        <v>0</v>
      </c>
      <c r="EF17" s="149"/>
      <c r="EG17" s="145"/>
      <c r="EH17" s="145"/>
      <c r="EI17" s="145"/>
      <c r="EJ17" s="145"/>
      <c r="EK17" s="145"/>
      <c r="EL17" s="149"/>
      <c r="EM17" s="142">
        <f>IF(ISBLANK(Estudiantes3[[#This Row],[Columna137]]),Estudiantes3[[#This Row],[Columna139]],Estudiantes3[[#This Row],[Columna137]])</f>
        <v>0</v>
      </c>
      <c r="EN17" s="149"/>
      <c r="EO17" s="145"/>
      <c r="EP17" s="145"/>
      <c r="EQ17" s="145"/>
      <c r="ER17" s="145"/>
      <c r="ES17" s="145"/>
      <c r="ET17" s="149"/>
      <c r="EU17" s="142">
        <f>IF(ISBLANK(Estudiantes3[[#This Row],[Columna145]]),Estudiantes3[[#This Row],[Columna147]],Estudiantes3[[#This Row],[Columna145]])</f>
        <v>0</v>
      </c>
      <c r="EV17" s="149"/>
      <c r="EW17" s="145"/>
      <c r="EX17" s="145"/>
      <c r="EY17" s="145"/>
      <c r="EZ17" s="145"/>
      <c r="FA17" s="145"/>
      <c r="FB17" s="149"/>
      <c r="FC17" s="142">
        <f>IF(ISBLANK(Estudiantes3[[#This Row],[Columna153]]),Estudiantes3[[#This Row],[Columna155]],Estudiantes3[[#This Row],[Columna153]])</f>
        <v>0</v>
      </c>
      <c r="FD17" s="149"/>
      <c r="FE17" s="145"/>
      <c r="FF17" s="145"/>
      <c r="FG17" s="145"/>
      <c r="FH17" s="145"/>
      <c r="FI17" s="145"/>
      <c r="FJ17" s="149"/>
      <c r="FK17" s="142">
        <f>IF(ISBLANK(Estudiantes3[[#This Row],[Columna161]]),Estudiantes3[[#This Row],[Columna163]],Estudiantes3[[#This Row],[Columna161]])</f>
        <v>0</v>
      </c>
      <c r="FL17" s="149"/>
      <c r="FM17" s="150">
        <f t="shared" si="1"/>
        <v>43</v>
      </c>
      <c r="FN17" s="151"/>
    </row>
    <row r="18" spans="1:170" ht="15.6" x14ac:dyDescent="0.3">
      <c r="A18" s="135" t="s">
        <v>280</v>
      </c>
      <c r="B18" s="135" t="s">
        <v>281</v>
      </c>
      <c r="C18" s="135" t="s">
        <v>282</v>
      </c>
      <c r="D18" s="152">
        <v>209050481</v>
      </c>
      <c r="E18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8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8" s="136">
        <f t="shared" si="0"/>
        <v>0</v>
      </c>
      <c r="H18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9</v>
      </c>
      <c r="I18" s="138"/>
      <c r="J18" s="139"/>
      <c r="K18" s="138"/>
      <c r="L18" s="139"/>
      <c r="M18" s="140"/>
      <c r="N18" s="141">
        <v>3</v>
      </c>
      <c r="O18" s="142">
        <f>IF(ISBLANK(Estudiantes3[[#This Row],[Columna10]]),Estudiantes3[[#This Row],[AJ]],Estudiantes3[[#This Row],[Columna10]])</f>
        <v>3</v>
      </c>
      <c r="P18" s="143"/>
      <c r="Q18" s="144"/>
      <c r="R18" s="145"/>
      <c r="S18" s="145"/>
      <c r="T18" s="145"/>
      <c r="U18" s="145"/>
      <c r="V18" s="146">
        <v>3</v>
      </c>
      <c r="W18" s="147">
        <f>IF(ISBLANK(Estudiantes3[[#This Row],[Columna17]]),Estudiantes3[[#This Row],[Columna19]],Estudiantes3[[#This Row],[Columna17]])</f>
        <v>3</v>
      </c>
      <c r="X18" s="148"/>
      <c r="Y18" s="145"/>
      <c r="Z18" s="145"/>
      <c r="AA18" s="145"/>
      <c r="AB18" s="145"/>
      <c r="AC18" s="145"/>
      <c r="AD18" s="149">
        <v>3</v>
      </c>
      <c r="AE18" s="142">
        <f>IF(ISBLANK(Estudiantes3[[#This Row],[Columna25]]),Estudiantes3[[#This Row],[Columna27]],Estudiantes3[[#This Row],[Columna25]])</f>
        <v>3</v>
      </c>
      <c r="AF18" s="149"/>
      <c r="AG18" s="145"/>
      <c r="AH18" s="145"/>
      <c r="AI18" s="145"/>
      <c r="AJ18" s="145"/>
      <c r="AK18" s="145"/>
      <c r="AL18" s="149">
        <v>3</v>
      </c>
      <c r="AM18" s="142">
        <f>IF(ISBLANK(Estudiantes3[[#This Row],[Columna33]]),Estudiantes3[[#This Row],[Columna35]],Estudiantes3[[#This Row],[Columna33]])</f>
        <v>3</v>
      </c>
      <c r="AN18" s="149"/>
      <c r="AO18" s="145"/>
      <c r="AP18" s="145"/>
      <c r="AQ18" s="145"/>
      <c r="AR18" s="145"/>
      <c r="AS18" s="145"/>
      <c r="AT18" s="149">
        <v>3</v>
      </c>
      <c r="AU18" s="142">
        <f>IF(ISBLANK(Estudiantes3[[#This Row],[Columna41]]),Estudiantes3[[#This Row],[Columna43]],Estudiantes3[[#This Row],[Columna41]])</f>
        <v>3</v>
      </c>
      <c r="AV18" s="149"/>
      <c r="AW18" s="145">
        <v>3</v>
      </c>
      <c r="AX18" s="145"/>
      <c r="AY18" s="145"/>
      <c r="AZ18" s="145">
        <v>3</v>
      </c>
      <c r="BA18" s="145"/>
      <c r="BB18" s="149">
        <v>3</v>
      </c>
      <c r="BC18" s="142">
        <f>IF(ISBLANK(Estudiantes3[[#This Row],[Columna49]]),Estudiantes3[[#This Row],[Columna51]],Estudiantes3[[#This Row],[Columna49]])</f>
        <v>3</v>
      </c>
      <c r="BD18" s="149"/>
      <c r="BE18" s="145"/>
      <c r="BF18" s="145"/>
      <c r="BG18" s="145"/>
      <c r="BH18" s="145"/>
      <c r="BI18" s="145"/>
      <c r="BJ18" s="149">
        <v>3</v>
      </c>
      <c r="BK18" s="142">
        <f>IF(ISBLANK(Estudiantes3[[#This Row],[Columna57]]),Estudiantes3[[#This Row],[Columna59]],Estudiantes3[[#This Row],[Columna57]])</f>
        <v>3</v>
      </c>
      <c r="BL18" s="149"/>
      <c r="BM18" s="145"/>
      <c r="BN18" s="145"/>
      <c r="BO18" s="145"/>
      <c r="BP18" s="145"/>
      <c r="BQ18" s="145"/>
      <c r="BR18" s="149">
        <v>3</v>
      </c>
      <c r="BS18" s="142">
        <f>IF(ISBLANK(Estudiantes3[[#This Row],[Columna65]]),Estudiantes3[[#This Row],[Columna67]],Estudiantes3[[#This Row],[Columna65]])</f>
        <v>3</v>
      </c>
      <c r="BT18" s="149"/>
      <c r="BU18" s="145">
        <v>3</v>
      </c>
      <c r="BV18" s="145"/>
      <c r="BW18" s="145"/>
      <c r="BX18" s="145">
        <v>3</v>
      </c>
      <c r="BY18" s="145"/>
      <c r="BZ18" s="149"/>
      <c r="CA18" s="142">
        <f>IF(ISBLANK(Estudiantes3[[#This Row],[Columna73]]),Estudiantes3[[#This Row],[Columna75]],Estudiantes3[[#This Row],[Columna73]])</f>
        <v>0</v>
      </c>
      <c r="CB18" s="149"/>
      <c r="CC18" s="145"/>
      <c r="CD18" s="145"/>
      <c r="CE18" s="145"/>
      <c r="CF18" s="145"/>
      <c r="CG18" s="145"/>
      <c r="CH18" s="149">
        <v>3</v>
      </c>
      <c r="CI18" s="142">
        <f>IF(ISBLANK(Estudiantes3[[#This Row],[Columna81]]),Estudiantes3[[#This Row],[Columna83]],Estudiantes3[[#This Row],[Columna81]])</f>
        <v>3</v>
      </c>
      <c r="CJ18" s="149"/>
      <c r="CK18" s="145"/>
      <c r="CL18" s="145"/>
      <c r="CM18" s="145"/>
      <c r="CN18" s="145"/>
      <c r="CO18" s="145"/>
      <c r="CP18" s="149">
        <v>3</v>
      </c>
      <c r="CQ18" s="142">
        <f>IF(ISBLANK(Estudiantes3[[#This Row],[Columna89]]),Estudiantes3[[#This Row],[Columna91]],Estudiantes3[[#This Row],[Columna89]])</f>
        <v>3</v>
      </c>
      <c r="CR18" s="149"/>
      <c r="CS18" s="145"/>
      <c r="CT18" s="145"/>
      <c r="CU18" s="145"/>
      <c r="CV18" s="145"/>
      <c r="CW18" s="145"/>
      <c r="CX18" s="149">
        <v>3</v>
      </c>
      <c r="CY18" s="142">
        <f>IF(ISBLANK(Estudiantes3[[#This Row],[Columna97]]),Estudiantes3[[#This Row],[Columna99]],Estudiantes3[[#This Row],[Columna97]])</f>
        <v>3</v>
      </c>
      <c r="CZ18" s="149"/>
      <c r="DA18" s="145"/>
      <c r="DB18" s="145"/>
      <c r="DC18" s="145"/>
      <c r="DD18" s="145"/>
      <c r="DE18" s="145"/>
      <c r="DF18" s="149">
        <v>3</v>
      </c>
      <c r="DG18" s="142">
        <f>IF(ISBLANK(Estudiantes3[[#This Row],[Columna105]]),Estudiantes3[[#This Row],[Columna107]],Estudiantes3[[#This Row],[Columna105]])</f>
        <v>3</v>
      </c>
      <c r="DH18" s="149"/>
      <c r="DI18" s="145"/>
      <c r="DJ18" s="145"/>
      <c r="DK18" s="145"/>
      <c r="DL18" s="145"/>
      <c r="DM18" s="145"/>
      <c r="DN18" s="149">
        <v>3</v>
      </c>
      <c r="DO18" s="142">
        <f>IF(ISBLANK(Estudiantes3[[#This Row],[Columna113]]),Estudiantes3[[#This Row],[Columna115]],Estudiantes3[[#This Row],[Columna113]])</f>
        <v>3</v>
      </c>
      <c r="DP18" s="149"/>
      <c r="DQ18" s="145">
        <v>3</v>
      </c>
      <c r="DR18" s="145"/>
      <c r="DS18" s="145"/>
      <c r="DT18" s="145">
        <v>3</v>
      </c>
      <c r="DU18" s="145"/>
      <c r="DV18" s="149">
        <v>3</v>
      </c>
      <c r="DW18" s="142">
        <f>IF(ISBLANK(Estudiantes3[[#This Row],[Columna121]]),Estudiantes3[[#This Row],[Columna123]],Estudiantes3[[#This Row],[Columna121]])</f>
        <v>3</v>
      </c>
      <c r="DX18" s="149"/>
      <c r="DY18" s="145"/>
      <c r="DZ18" s="145"/>
      <c r="EA18" s="145"/>
      <c r="EB18" s="145"/>
      <c r="EC18" s="145"/>
      <c r="ED18" s="149"/>
      <c r="EE18" s="142">
        <f>IF(ISBLANK(Estudiantes3[[#This Row],[Columna129]]),Estudiantes3[[#This Row],[Columna131]],Estudiantes3[[#This Row],[Columna129]])</f>
        <v>0</v>
      </c>
      <c r="EF18" s="149"/>
      <c r="EG18" s="145"/>
      <c r="EH18" s="145"/>
      <c r="EI18" s="145"/>
      <c r="EJ18" s="145"/>
      <c r="EK18" s="145"/>
      <c r="EL18" s="149"/>
      <c r="EM18" s="142">
        <f>IF(ISBLANK(Estudiantes3[[#This Row],[Columna137]]),Estudiantes3[[#This Row],[Columna139]],Estudiantes3[[#This Row],[Columna137]])</f>
        <v>0</v>
      </c>
      <c r="EN18" s="149"/>
      <c r="EO18" s="145"/>
      <c r="EP18" s="145"/>
      <c r="EQ18" s="145"/>
      <c r="ER18" s="145"/>
      <c r="ES18" s="145"/>
      <c r="ET18" s="149"/>
      <c r="EU18" s="142">
        <f>IF(ISBLANK(Estudiantes3[[#This Row],[Columna145]]),Estudiantes3[[#This Row],[Columna147]],Estudiantes3[[#This Row],[Columna145]])</f>
        <v>0</v>
      </c>
      <c r="EV18" s="149"/>
      <c r="EW18" s="145"/>
      <c r="EX18" s="145"/>
      <c r="EY18" s="145"/>
      <c r="EZ18" s="145"/>
      <c r="FA18" s="145"/>
      <c r="FB18" s="149"/>
      <c r="FC18" s="142">
        <f>IF(ISBLANK(Estudiantes3[[#This Row],[Columna153]]),Estudiantes3[[#This Row],[Columna155]],Estudiantes3[[#This Row],[Columna153]])</f>
        <v>0</v>
      </c>
      <c r="FD18" s="149"/>
      <c r="FE18" s="145"/>
      <c r="FF18" s="145"/>
      <c r="FG18" s="145"/>
      <c r="FH18" s="145"/>
      <c r="FI18" s="145"/>
      <c r="FJ18" s="149"/>
      <c r="FK18" s="142">
        <f>IF(ISBLANK(Estudiantes3[[#This Row],[Columna161]]),Estudiantes3[[#This Row],[Columna163]],Estudiantes3[[#This Row],[Columna161]])</f>
        <v>0</v>
      </c>
      <c r="FL18" s="149"/>
      <c r="FM18" s="150">
        <f t="shared" si="1"/>
        <v>40</v>
      </c>
      <c r="FN18" s="151"/>
    </row>
    <row r="19" spans="1:170" ht="15.6" x14ac:dyDescent="0.3">
      <c r="A19" s="135" t="s">
        <v>283</v>
      </c>
      <c r="B19" s="135" t="s">
        <v>284</v>
      </c>
      <c r="C19" s="135" t="s">
        <v>285</v>
      </c>
      <c r="D19" s="152">
        <v>208910947</v>
      </c>
      <c r="E19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19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19" s="136">
        <f t="shared" si="0"/>
        <v>0</v>
      </c>
      <c r="H19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3</v>
      </c>
      <c r="I19" s="138"/>
      <c r="J19" s="139"/>
      <c r="K19" s="138"/>
      <c r="L19" s="139"/>
      <c r="M19" s="140"/>
      <c r="N19" s="141">
        <v>3</v>
      </c>
      <c r="O19" s="142">
        <f>IF(ISBLANK(Estudiantes3[[#This Row],[Columna10]]),Estudiantes3[[#This Row],[AJ]],Estudiantes3[[#This Row],[Columna10]])</f>
        <v>3</v>
      </c>
      <c r="P19" s="143"/>
      <c r="Q19" s="144"/>
      <c r="R19" s="145"/>
      <c r="S19" s="145"/>
      <c r="T19" s="145"/>
      <c r="U19" s="145"/>
      <c r="V19" s="146">
        <v>3</v>
      </c>
      <c r="W19" s="147">
        <f>IF(ISBLANK(Estudiantes3[[#This Row],[Columna17]]),Estudiantes3[[#This Row],[Columna19]],Estudiantes3[[#This Row],[Columna17]])</f>
        <v>3</v>
      </c>
      <c r="X19" s="148"/>
      <c r="Y19" s="145"/>
      <c r="Z19" s="145"/>
      <c r="AA19" s="145"/>
      <c r="AB19" s="145"/>
      <c r="AC19" s="145"/>
      <c r="AD19" s="149">
        <v>3</v>
      </c>
      <c r="AE19" s="142">
        <f>IF(ISBLANK(Estudiantes3[[#This Row],[Columna25]]),Estudiantes3[[#This Row],[Columna27]],Estudiantes3[[#This Row],[Columna25]])</f>
        <v>3</v>
      </c>
      <c r="AF19" s="149"/>
      <c r="AG19" s="145"/>
      <c r="AH19" s="145"/>
      <c r="AI19" s="145"/>
      <c r="AJ19" s="145"/>
      <c r="AK19" s="145"/>
      <c r="AL19" s="149">
        <v>3</v>
      </c>
      <c r="AM19" s="142">
        <f>IF(ISBLANK(Estudiantes3[[#This Row],[Columna33]]),Estudiantes3[[#This Row],[Columna35]],Estudiantes3[[#This Row],[Columna33]])</f>
        <v>3</v>
      </c>
      <c r="AN19" s="149"/>
      <c r="AO19" s="145">
        <v>3</v>
      </c>
      <c r="AP19" s="145"/>
      <c r="AQ19" s="145"/>
      <c r="AR19" s="145">
        <v>3</v>
      </c>
      <c r="AS19" s="145"/>
      <c r="AT19" s="149">
        <v>3</v>
      </c>
      <c r="AU19" s="142">
        <f>IF(ISBLANK(Estudiantes3[[#This Row],[Columna41]]),Estudiantes3[[#This Row],[Columna43]],Estudiantes3[[#This Row],[Columna41]])</f>
        <v>3</v>
      </c>
      <c r="AV19" s="149"/>
      <c r="AW19" s="145"/>
      <c r="AX19" s="145"/>
      <c r="AY19" s="145"/>
      <c r="AZ19" s="145"/>
      <c r="BA19" s="145"/>
      <c r="BB19" s="149">
        <v>3</v>
      </c>
      <c r="BC19" s="142">
        <f>IF(ISBLANK(Estudiantes3[[#This Row],[Columna49]]),Estudiantes3[[#This Row],[Columna51]],Estudiantes3[[#This Row],[Columna49]])</f>
        <v>3</v>
      </c>
      <c r="BD19" s="149"/>
      <c r="BE19" s="145"/>
      <c r="BF19" s="145"/>
      <c r="BG19" s="145"/>
      <c r="BH19" s="145"/>
      <c r="BI19" s="145"/>
      <c r="BJ19" s="149">
        <v>3</v>
      </c>
      <c r="BK19" s="142">
        <f>IF(ISBLANK(Estudiantes3[[#This Row],[Columna57]]),Estudiantes3[[#This Row],[Columna59]],Estudiantes3[[#This Row],[Columna57]])</f>
        <v>3</v>
      </c>
      <c r="BL19" s="149"/>
      <c r="BM19" s="145"/>
      <c r="BN19" s="145"/>
      <c r="BO19" s="145"/>
      <c r="BP19" s="145"/>
      <c r="BQ19" s="145"/>
      <c r="BR19" s="149">
        <v>3</v>
      </c>
      <c r="BS19" s="142">
        <f>IF(ISBLANK(Estudiantes3[[#This Row],[Columna65]]),Estudiantes3[[#This Row],[Columna67]],Estudiantes3[[#This Row],[Columna65]])</f>
        <v>3</v>
      </c>
      <c r="BT19" s="149"/>
      <c r="BU19" s="145"/>
      <c r="BV19" s="145"/>
      <c r="BW19" s="145"/>
      <c r="BX19" s="145"/>
      <c r="BY19" s="145"/>
      <c r="BZ19" s="149">
        <v>3</v>
      </c>
      <c r="CA19" s="142">
        <f>IF(ISBLANK(Estudiantes3[[#This Row],[Columna73]]),Estudiantes3[[#This Row],[Columna75]],Estudiantes3[[#This Row],[Columna73]])</f>
        <v>3</v>
      </c>
      <c r="CB19" s="149"/>
      <c r="CC19" s="145"/>
      <c r="CD19" s="145"/>
      <c r="CE19" s="145"/>
      <c r="CF19" s="145"/>
      <c r="CG19" s="145"/>
      <c r="CH19" s="149">
        <v>3</v>
      </c>
      <c r="CI19" s="142">
        <f>IF(ISBLANK(Estudiantes3[[#This Row],[Columna81]]),Estudiantes3[[#This Row],[Columna83]],Estudiantes3[[#This Row],[Columna81]])</f>
        <v>3</v>
      </c>
      <c r="CJ19" s="149"/>
      <c r="CK19" s="145"/>
      <c r="CL19" s="145"/>
      <c r="CM19" s="145"/>
      <c r="CN19" s="145"/>
      <c r="CO19" s="145"/>
      <c r="CP19" s="149">
        <v>3</v>
      </c>
      <c r="CQ19" s="142">
        <f>IF(ISBLANK(Estudiantes3[[#This Row],[Columna89]]),Estudiantes3[[#This Row],[Columna91]],Estudiantes3[[#This Row],[Columna89]])</f>
        <v>3</v>
      </c>
      <c r="CR19" s="149"/>
      <c r="CS19" s="145"/>
      <c r="CT19" s="145"/>
      <c r="CU19" s="145"/>
      <c r="CV19" s="145"/>
      <c r="CW19" s="145"/>
      <c r="CX19" s="149">
        <v>3</v>
      </c>
      <c r="CY19" s="142">
        <f>IF(ISBLANK(Estudiantes3[[#This Row],[Columna97]]),Estudiantes3[[#This Row],[Columna99]],Estudiantes3[[#This Row],[Columna97]])</f>
        <v>3</v>
      </c>
      <c r="CZ19" s="149"/>
      <c r="DA19" s="145"/>
      <c r="DB19" s="145"/>
      <c r="DC19" s="145"/>
      <c r="DD19" s="145"/>
      <c r="DE19" s="145"/>
      <c r="DF19" s="149">
        <v>3</v>
      </c>
      <c r="DG19" s="142">
        <f>IF(ISBLANK(Estudiantes3[[#This Row],[Columna105]]),Estudiantes3[[#This Row],[Columna107]],Estudiantes3[[#This Row],[Columna105]])</f>
        <v>3</v>
      </c>
      <c r="DH19" s="149"/>
      <c r="DI19" s="145"/>
      <c r="DJ19" s="145"/>
      <c r="DK19" s="145"/>
      <c r="DL19" s="145"/>
      <c r="DM19" s="145"/>
      <c r="DN19" s="149">
        <v>3</v>
      </c>
      <c r="DO19" s="142">
        <f>IF(ISBLANK(Estudiantes3[[#This Row],[Columna113]]),Estudiantes3[[#This Row],[Columna115]],Estudiantes3[[#This Row],[Columna113]])</f>
        <v>3</v>
      </c>
      <c r="DP19" s="149"/>
      <c r="DQ19" s="145"/>
      <c r="DR19" s="145"/>
      <c r="DS19" s="145"/>
      <c r="DT19" s="145"/>
      <c r="DU19" s="145"/>
      <c r="DV19" s="149">
        <v>3</v>
      </c>
      <c r="DW19" s="142">
        <f>IF(ISBLANK(Estudiantes3[[#This Row],[Columna121]]),Estudiantes3[[#This Row],[Columna123]],Estudiantes3[[#This Row],[Columna121]])</f>
        <v>3</v>
      </c>
      <c r="DX19" s="149"/>
      <c r="DY19" s="145"/>
      <c r="DZ19" s="145"/>
      <c r="EA19" s="145"/>
      <c r="EB19" s="145"/>
      <c r="EC19" s="145"/>
      <c r="ED19" s="149"/>
      <c r="EE19" s="142">
        <f>IF(ISBLANK(Estudiantes3[[#This Row],[Columna129]]),Estudiantes3[[#This Row],[Columna131]],Estudiantes3[[#This Row],[Columna129]])</f>
        <v>0</v>
      </c>
      <c r="EF19" s="149"/>
      <c r="EG19" s="145"/>
      <c r="EH19" s="145"/>
      <c r="EI19" s="145"/>
      <c r="EJ19" s="145"/>
      <c r="EK19" s="145"/>
      <c r="EL19" s="149"/>
      <c r="EM19" s="142">
        <f>IF(ISBLANK(Estudiantes3[[#This Row],[Columna137]]),Estudiantes3[[#This Row],[Columna139]],Estudiantes3[[#This Row],[Columna137]])</f>
        <v>0</v>
      </c>
      <c r="EN19" s="149"/>
      <c r="EO19" s="145"/>
      <c r="EP19" s="145"/>
      <c r="EQ19" s="145"/>
      <c r="ER19" s="145"/>
      <c r="ES19" s="145"/>
      <c r="ET19" s="149"/>
      <c r="EU19" s="142">
        <f>IF(ISBLANK(Estudiantes3[[#This Row],[Columna145]]),Estudiantes3[[#This Row],[Columna147]],Estudiantes3[[#This Row],[Columna145]])</f>
        <v>0</v>
      </c>
      <c r="EV19" s="149"/>
      <c r="EW19" s="145"/>
      <c r="EX19" s="145"/>
      <c r="EY19" s="145"/>
      <c r="EZ19" s="145"/>
      <c r="FA19" s="145"/>
      <c r="FB19" s="149"/>
      <c r="FC19" s="142">
        <f>IF(ISBLANK(Estudiantes3[[#This Row],[Columna153]]),Estudiantes3[[#This Row],[Columna155]],Estudiantes3[[#This Row],[Columna153]])</f>
        <v>0</v>
      </c>
      <c r="FD19" s="149"/>
      <c r="FE19" s="145"/>
      <c r="FF19" s="145"/>
      <c r="FG19" s="145"/>
      <c r="FH19" s="145"/>
      <c r="FI19" s="145"/>
      <c r="FJ19" s="149"/>
      <c r="FK19" s="142">
        <f>IF(ISBLANK(Estudiantes3[[#This Row],[Columna161]]),Estudiantes3[[#This Row],[Columna163]],Estudiantes3[[#This Row],[Columna161]])</f>
        <v>0</v>
      </c>
      <c r="FL19" s="149"/>
      <c r="FM19" s="150">
        <f t="shared" si="1"/>
        <v>43</v>
      </c>
      <c r="FN19" s="151"/>
    </row>
    <row r="20" spans="1:170" ht="15.6" x14ac:dyDescent="0.3">
      <c r="A20" s="135" t="s">
        <v>286</v>
      </c>
      <c r="B20" s="135" t="s">
        <v>287</v>
      </c>
      <c r="C20" s="135" t="s">
        <v>288</v>
      </c>
      <c r="D20" s="152">
        <v>209100689</v>
      </c>
      <c r="E20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3</v>
      </c>
      <c r="F20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0" s="136">
        <f t="shared" si="0"/>
        <v>0</v>
      </c>
      <c r="H20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0" s="138"/>
      <c r="J20" s="139"/>
      <c r="K20" s="138"/>
      <c r="L20" s="139"/>
      <c r="M20" s="140"/>
      <c r="N20" s="141">
        <v>3</v>
      </c>
      <c r="O20" s="142">
        <f>IF(ISBLANK(Estudiantes3[[#This Row],[Columna10]]),Estudiantes3[[#This Row],[AJ]],Estudiantes3[[#This Row],[Columna10]])</f>
        <v>3</v>
      </c>
      <c r="P20" s="143"/>
      <c r="Q20" s="144"/>
      <c r="R20" s="145"/>
      <c r="S20" s="145"/>
      <c r="T20" s="145"/>
      <c r="U20" s="145"/>
      <c r="V20" s="146">
        <v>3</v>
      </c>
      <c r="W20" s="147">
        <f>IF(ISBLANK(Estudiantes3[[#This Row],[Columna17]]),Estudiantes3[[#This Row],[Columna19]],Estudiantes3[[#This Row],[Columna17]])</f>
        <v>3</v>
      </c>
      <c r="X20" s="148"/>
      <c r="Y20" s="145"/>
      <c r="Z20" s="145"/>
      <c r="AA20" s="145"/>
      <c r="AB20" s="145"/>
      <c r="AC20" s="145"/>
      <c r="AD20" s="149">
        <v>3</v>
      </c>
      <c r="AE20" s="142">
        <f>IF(ISBLANK(Estudiantes3[[#This Row],[Columna25]]),Estudiantes3[[#This Row],[Columna27]],Estudiantes3[[#This Row],[Columna25]])</f>
        <v>3</v>
      </c>
      <c r="AF20" s="149"/>
      <c r="AG20" s="145"/>
      <c r="AH20" s="145"/>
      <c r="AI20" s="145"/>
      <c r="AJ20" s="145"/>
      <c r="AK20" s="145"/>
      <c r="AL20" s="149">
        <v>3</v>
      </c>
      <c r="AM20" s="142">
        <f>IF(ISBLANK(Estudiantes3[[#This Row],[Columna33]]),Estudiantes3[[#This Row],[Columna35]],Estudiantes3[[#This Row],[Columna33]])</f>
        <v>3</v>
      </c>
      <c r="AN20" s="149"/>
      <c r="AO20" s="145"/>
      <c r="AP20" s="145"/>
      <c r="AQ20" s="145"/>
      <c r="AR20" s="145"/>
      <c r="AS20" s="145"/>
      <c r="AT20" s="149">
        <v>3</v>
      </c>
      <c r="AU20" s="142">
        <f>IF(ISBLANK(Estudiantes3[[#This Row],[Columna41]]),Estudiantes3[[#This Row],[Columna43]],Estudiantes3[[#This Row],[Columna41]])</f>
        <v>3</v>
      </c>
      <c r="AV20" s="149"/>
      <c r="AW20" s="145"/>
      <c r="AX20" s="145"/>
      <c r="AY20" s="145"/>
      <c r="AZ20" s="145"/>
      <c r="BA20" s="145"/>
      <c r="BB20" s="149">
        <v>3</v>
      </c>
      <c r="BC20" s="142">
        <f>IF(ISBLANK(Estudiantes3[[#This Row],[Columna49]]),Estudiantes3[[#This Row],[Columna51]],Estudiantes3[[#This Row],[Columna49]])</f>
        <v>3</v>
      </c>
      <c r="BD20" s="149"/>
      <c r="BE20" s="145"/>
      <c r="BF20" s="145"/>
      <c r="BG20" s="145"/>
      <c r="BH20" s="145"/>
      <c r="BI20" s="145"/>
      <c r="BJ20" s="149">
        <v>3</v>
      </c>
      <c r="BK20" s="142">
        <f>IF(ISBLANK(Estudiantes3[[#This Row],[Columna57]]),Estudiantes3[[#This Row],[Columna59]],Estudiantes3[[#This Row],[Columna57]])</f>
        <v>3</v>
      </c>
      <c r="BL20" s="149"/>
      <c r="BM20" s="145"/>
      <c r="BN20" s="145"/>
      <c r="BO20" s="145"/>
      <c r="BP20" s="145"/>
      <c r="BQ20" s="145"/>
      <c r="BR20" s="149">
        <v>3</v>
      </c>
      <c r="BS20" s="142">
        <f>IF(ISBLANK(Estudiantes3[[#This Row],[Columna65]]),Estudiantes3[[#This Row],[Columna67]],Estudiantes3[[#This Row],[Columna65]])</f>
        <v>3</v>
      </c>
      <c r="BT20" s="149"/>
      <c r="BU20" s="145"/>
      <c r="BV20" s="145"/>
      <c r="BW20" s="145"/>
      <c r="BX20" s="145"/>
      <c r="BY20" s="145"/>
      <c r="BZ20" s="149">
        <v>3</v>
      </c>
      <c r="CA20" s="142">
        <f>IF(ISBLANK(Estudiantes3[[#This Row],[Columna73]]),Estudiantes3[[#This Row],[Columna75]],Estudiantes3[[#This Row],[Columna73]])</f>
        <v>3</v>
      </c>
      <c r="CB20" s="149"/>
      <c r="CC20" s="145">
        <v>3</v>
      </c>
      <c r="CD20" s="145"/>
      <c r="CE20" s="145"/>
      <c r="CF20" s="145"/>
      <c r="CG20" s="145"/>
      <c r="CH20" s="149"/>
      <c r="CI20" s="142">
        <f>IF(ISBLANK(Estudiantes3[[#This Row],[Columna81]]),Estudiantes3[[#This Row],[Columna83]],Estudiantes3[[#This Row],[Columna81]])</f>
        <v>0</v>
      </c>
      <c r="CJ20" s="149"/>
      <c r="CK20" s="145"/>
      <c r="CL20" s="145"/>
      <c r="CM20" s="145"/>
      <c r="CN20" s="145"/>
      <c r="CO20" s="145"/>
      <c r="CP20" s="149">
        <v>3</v>
      </c>
      <c r="CQ20" s="142">
        <f>IF(ISBLANK(Estudiantes3[[#This Row],[Columna89]]),Estudiantes3[[#This Row],[Columna91]],Estudiantes3[[#This Row],[Columna89]])</f>
        <v>3</v>
      </c>
      <c r="CR20" s="149"/>
      <c r="CS20" s="145"/>
      <c r="CT20" s="145"/>
      <c r="CU20" s="145"/>
      <c r="CV20" s="145"/>
      <c r="CW20" s="145"/>
      <c r="CX20" s="149">
        <v>3</v>
      </c>
      <c r="CY20" s="142">
        <f>IF(ISBLANK(Estudiantes3[[#This Row],[Columna97]]),Estudiantes3[[#This Row],[Columna99]],Estudiantes3[[#This Row],[Columna97]])</f>
        <v>3</v>
      </c>
      <c r="CZ20" s="149"/>
      <c r="DA20" s="145"/>
      <c r="DB20" s="145"/>
      <c r="DC20" s="145"/>
      <c r="DD20" s="145"/>
      <c r="DE20" s="145"/>
      <c r="DF20" s="149">
        <v>3</v>
      </c>
      <c r="DG20" s="142">
        <f>IF(ISBLANK(Estudiantes3[[#This Row],[Columna105]]),Estudiantes3[[#This Row],[Columna107]],Estudiantes3[[#This Row],[Columna105]])</f>
        <v>3</v>
      </c>
      <c r="DH20" s="149"/>
      <c r="DI20" s="145"/>
      <c r="DJ20" s="145"/>
      <c r="DK20" s="145"/>
      <c r="DL20" s="145"/>
      <c r="DM20" s="145"/>
      <c r="DN20" s="149">
        <v>3</v>
      </c>
      <c r="DO20" s="142">
        <f>IF(ISBLANK(Estudiantes3[[#This Row],[Columna113]]),Estudiantes3[[#This Row],[Columna115]],Estudiantes3[[#This Row],[Columna113]])</f>
        <v>3</v>
      </c>
      <c r="DP20" s="149"/>
      <c r="DQ20" s="145"/>
      <c r="DR20" s="145"/>
      <c r="DS20" s="145"/>
      <c r="DT20" s="145"/>
      <c r="DU20" s="145"/>
      <c r="DV20" s="149">
        <v>3</v>
      </c>
      <c r="DW20" s="142">
        <f>IF(ISBLANK(Estudiantes3[[#This Row],[Columna121]]),Estudiantes3[[#This Row],[Columna123]],Estudiantes3[[#This Row],[Columna121]])</f>
        <v>3</v>
      </c>
      <c r="DX20" s="149"/>
      <c r="DY20" s="145"/>
      <c r="DZ20" s="145"/>
      <c r="EA20" s="145"/>
      <c r="EB20" s="145"/>
      <c r="EC20" s="145"/>
      <c r="ED20" s="149"/>
      <c r="EE20" s="142">
        <f>IF(ISBLANK(Estudiantes3[[#This Row],[Columna129]]),Estudiantes3[[#This Row],[Columna131]],Estudiantes3[[#This Row],[Columna129]])</f>
        <v>0</v>
      </c>
      <c r="EF20" s="149"/>
      <c r="EG20" s="145"/>
      <c r="EH20" s="145"/>
      <c r="EI20" s="145"/>
      <c r="EJ20" s="145"/>
      <c r="EK20" s="145"/>
      <c r="EL20" s="149"/>
      <c r="EM20" s="142">
        <f>IF(ISBLANK(Estudiantes3[[#This Row],[Columna137]]),Estudiantes3[[#This Row],[Columna139]],Estudiantes3[[#This Row],[Columna137]])</f>
        <v>0</v>
      </c>
      <c r="EN20" s="149"/>
      <c r="EO20" s="145"/>
      <c r="EP20" s="145"/>
      <c r="EQ20" s="145"/>
      <c r="ER20" s="145"/>
      <c r="ES20" s="145"/>
      <c r="ET20" s="149"/>
      <c r="EU20" s="142">
        <f>IF(ISBLANK(Estudiantes3[[#This Row],[Columna145]]),Estudiantes3[[#This Row],[Columna147]],Estudiantes3[[#This Row],[Columna145]])</f>
        <v>0</v>
      </c>
      <c r="EV20" s="149"/>
      <c r="EW20" s="145"/>
      <c r="EX20" s="145"/>
      <c r="EY20" s="145"/>
      <c r="EZ20" s="145"/>
      <c r="FA20" s="145"/>
      <c r="FB20" s="149"/>
      <c r="FC20" s="142">
        <f>IF(ISBLANK(Estudiantes3[[#This Row],[Columna153]]),Estudiantes3[[#This Row],[Columna155]],Estudiantes3[[#This Row],[Columna153]])</f>
        <v>0</v>
      </c>
      <c r="FD20" s="149"/>
      <c r="FE20" s="145"/>
      <c r="FF20" s="145"/>
      <c r="FG20" s="145"/>
      <c r="FH20" s="145"/>
      <c r="FI20" s="145"/>
      <c r="FJ20" s="149"/>
      <c r="FK20" s="142">
        <f>IF(ISBLANK(Estudiantes3[[#This Row],[Columna161]]),Estudiantes3[[#This Row],[Columna163]],Estudiantes3[[#This Row],[Columna161]])</f>
        <v>0</v>
      </c>
      <c r="FL20" s="149"/>
      <c r="FM20" s="150">
        <f t="shared" si="1"/>
        <v>40</v>
      </c>
      <c r="FN20" s="151"/>
    </row>
    <row r="21" spans="1:170" ht="15.6" x14ac:dyDescent="0.3">
      <c r="A21" s="135" t="s">
        <v>289</v>
      </c>
      <c r="B21" s="135" t="s">
        <v>290</v>
      </c>
      <c r="C21" s="135" t="s">
        <v>291</v>
      </c>
      <c r="D21" s="152">
        <v>209060003</v>
      </c>
      <c r="E21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1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1" s="136">
        <f t="shared" si="0"/>
        <v>0</v>
      </c>
      <c r="H21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1" s="138"/>
      <c r="J21" s="139"/>
      <c r="K21" s="138"/>
      <c r="L21" s="139"/>
      <c r="M21" s="140"/>
      <c r="N21" s="141">
        <v>3</v>
      </c>
      <c r="O21" s="142">
        <f>IF(ISBLANK(Estudiantes3[[#This Row],[Columna10]]),Estudiantes3[[#This Row],[AJ]],Estudiantes3[[#This Row],[Columna10]])</f>
        <v>3</v>
      </c>
      <c r="P21" s="143"/>
      <c r="Q21" s="144"/>
      <c r="R21" s="145"/>
      <c r="S21" s="145"/>
      <c r="T21" s="145"/>
      <c r="U21" s="145"/>
      <c r="V21" s="146">
        <v>3</v>
      </c>
      <c r="W21" s="147">
        <f>IF(ISBLANK(Estudiantes3[[#This Row],[Columna17]]),Estudiantes3[[#This Row],[Columna19]],Estudiantes3[[#This Row],[Columna17]])</f>
        <v>3</v>
      </c>
      <c r="X21" s="148"/>
      <c r="Y21" s="145"/>
      <c r="Z21" s="145"/>
      <c r="AA21" s="145"/>
      <c r="AB21" s="145"/>
      <c r="AC21" s="145"/>
      <c r="AD21" s="149">
        <v>3</v>
      </c>
      <c r="AE21" s="142">
        <f>IF(ISBLANK(Estudiantes3[[#This Row],[Columna25]]),Estudiantes3[[#This Row],[Columna27]],Estudiantes3[[#This Row],[Columna25]])</f>
        <v>3</v>
      </c>
      <c r="AF21" s="149"/>
      <c r="AG21" s="145"/>
      <c r="AH21" s="145"/>
      <c r="AI21" s="145"/>
      <c r="AJ21" s="145"/>
      <c r="AK21" s="145"/>
      <c r="AL21" s="149">
        <v>3</v>
      </c>
      <c r="AM21" s="142">
        <f>IF(ISBLANK(Estudiantes3[[#This Row],[Columna33]]),Estudiantes3[[#This Row],[Columna35]],Estudiantes3[[#This Row],[Columna33]])</f>
        <v>3</v>
      </c>
      <c r="AN21" s="149"/>
      <c r="AO21" s="145"/>
      <c r="AP21" s="145"/>
      <c r="AQ21" s="145"/>
      <c r="AR21" s="145"/>
      <c r="AS21" s="145"/>
      <c r="AT21" s="149">
        <v>3</v>
      </c>
      <c r="AU21" s="142">
        <f>IF(ISBLANK(Estudiantes3[[#This Row],[Columna41]]),Estudiantes3[[#This Row],[Columna43]],Estudiantes3[[#This Row],[Columna41]])</f>
        <v>3</v>
      </c>
      <c r="AV21" s="149"/>
      <c r="AW21" s="145"/>
      <c r="AX21" s="145"/>
      <c r="AY21" s="145"/>
      <c r="AZ21" s="145"/>
      <c r="BA21" s="145"/>
      <c r="BB21" s="149">
        <v>3</v>
      </c>
      <c r="BC21" s="142">
        <f>IF(ISBLANK(Estudiantes3[[#This Row],[Columna49]]),Estudiantes3[[#This Row],[Columna51]],Estudiantes3[[#This Row],[Columna49]])</f>
        <v>3</v>
      </c>
      <c r="BD21" s="149"/>
      <c r="BE21" s="145"/>
      <c r="BF21" s="145"/>
      <c r="BG21" s="145"/>
      <c r="BH21" s="145"/>
      <c r="BI21" s="145"/>
      <c r="BJ21" s="149">
        <v>3</v>
      </c>
      <c r="BK21" s="142">
        <f>IF(ISBLANK(Estudiantes3[[#This Row],[Columna57]]),Estudiantes3[[#This Row],[Columna59]],Estudiantes3[[#This Row],[Columna57]])</f>
        <v>3</v>
      </c>
      <c r="BL21" s="149"/>
      <c r="BM21" s="145"/>
      <c r="BN21" s="145"/>
      <c r="BO21" s="145"/>
      <c r="BP21" s="145"/>
      <c r="BQ21" s="145"/>
      <c r="BR21" s="149">
        <v>3</v>
      </c>
      <c r="BS21" s="142">
        <f>IF(ISBLANK(Estudiantes3[[#This Row],[Columna65]]),Estudiantes3[[#This Row],[Columna67]],Estudiantes3[[#This Row],[Columna65]])</f>
        <v>3</v>
      </c>
      <c r="BT21" s="149"/>
      <c r="BU21" s="145"/>
      <c r="BV21" s="145"/>
      <c r="BW21" s="145"/>
      <c r="BX21" s="145"/>
      <c r="BY21" s="145"/>
      <c r="BZ21" s="149">
        <v>3</v>
      </c>
      <c r="CA21" s="142">
        <f>IF(ISBLANK(Estudiantes3[[#This Row],[Columna73]]),Estudiantes3[[#This Row],[Columna75]],Estudiantes3[[#This Row],[Columna73]])</f>
        <v>3</v>
      </c>
      <c r="CB21" s="149"/>
      <c r="CC21" s="145"/>
      <c r="CD21" s="145"/>
      <c r="CE21" s="145"/>
      <c r="CF21" s="145"/>
      <c r="CG21" s="145"/>
      <c r="CH21" s="149">
        <v>3</v>
      </c>
      <c r="CI21" s="142">
        <f>IF(ISBLANK(Estudiantes3[[#This Row],[Columna81]]),Estudiantes3[[#This Row],[Columna83]],Estudiantes3[[#This Row],[Columna81]])</f>
        <v>3</v>
      </c>
      <c r="CJ21" s="149"/>
      <c r="CK21" s="145"/>
      <c r="CL21" s="145"/>
      <c r="CM21" s="145"/>
      <c r="CN21" s="145"/>
      <c r="CO21" s="145"/>
      <c r="CP21" s="149">
        <v>3</v>
      </c>
      <c r="CQ21" s="142">
        <f>IF(ISBLANK(Estudiantes3[[#This Row],[Columna89]]),Estudiantes3[[#This Row],[Columna91]],Estudiantes3[[#This Row],[Columna89]])</f>
        <v>3</v>
      </c>
      <c r="CR21" s="149"/>
      <c r="CS21" s="145"/>
      <c r="CT21" s="145"/>
      <c r="CU21" s="145"/>
      <c r="CV21" s="145"/>
      <c r="CW21" s="145"/>
      <c r="CX21" s="149">
        <v>3</v>
      </c>
      <c r="CY21" s="142">
        <f>IF(ISBLANK(Estudiantes3[[#This Row],[Columna97]]),Estudiantes3[[#This Row],[Columna99]],Estudiantes3[[#This Row],[Columna97]])</f>
        <v>3</v>
      </c>
      <c r="CZ21" s="149"/>
      <c r="DA21" s="145"/>
      <c r="DB21" s="145"/>
      <c r="DC21" s="145"/>
      <c r="DD21" s="145"/>
      <c r="DE21" s="145"/>
      <c r="DF21" s="149">
        <v>3</v>
      </c>
      <c r="DG21" s="142">
        <f>IF(ISBLANK(Estudiantes3[[#This Row],[Columna105]]),Estudiantes3[[#This Row],[Columna107]],Estudiantes3[[#This Row],[Columna105]])</f>
        <v>3</v>
      </c>
      <c r="DH21" s="149"/>
      <c r="DI21" s="145"/>
      <c r="DJ21" s="145"/>
      <c r="DK21" s="145"/>
      <c r="DL21" s="145"/>
      <c r="DM21" s="145"/>
      <c r="DN21" s="149">
        <v>3</v>
      </c>
      <c r="DO21" s="142">
        <f>IF(ISBLANK(Estudiantes3[[#This Row],[Columna113]]),Estudiantes3[[#This Row],[Columna115]],Estudiantes3[[#This Row],[Columna113]])</f>
        <v>3</v>
      </c>
      <c r="DP21" s="149"/>
      <c r="DQ21" s="145"/>
      <c r="DR21" s="145"/>
      <c r="DS21" s="145"/>
      <c r="DT21" s="145"/>
      <c r="DU21" s="145"/>
      <c r="DV21" s="149">
        <v>3</v>
      </c>
      <c r="DW21" s="142">
        <f>IF(ISBLANK(Estudiantes3[[#This Row],[Columna121]]),Estudiantes3[[#This Row],[Columna123]],Estudiantes3[[#This Row],[Columna121]])</f>
        <v>3</v>
      </c>
      <c r="DX21" s="149"/>
      <c r="DY21" s="145"/>
      <c r="DZ21" s="145"/>
      <c r="EA21" s="145"/>
      <c r="EB21" s="145"/>
      <c r="EC21" s="145"/>
      <c r="ED21" s="149"/>
      <c r="EE21" s="142">
        <f>IF(ISBLANK(Estudiantes3[[#This Row],[Columna129]]),Estudiantes3[[#This Row],[Columna131]],Estudiantes3[[#This Row],[Columna129]])</f>
        <v>0</v>
      </c>
      <c r="EF21" s="149"/>
      <c r="EG21" s="145"/>
      <c r="EH21" s="145"/>
      <c r="EI21" s="145"/>
      <c r="EJ21" s="145"/>
      <c r="EK21" s="145"/>
      <c r="EL21" s="149"/>
      <c r="EM21" s="142">
        <f>IF(ISBLANK(Estudiantes3[[#This Row],[Columna137]]),Estudiantes3[[#This Row],[Columna139]],Estudiantes3[[#This Row],[Columna137]])</f>
        <v>0</v>
      </c>
      <c r="EN21" s="149"/>
      <c r="EO21" s="145"/>
      <c r="EP21" s="145"/>
      <c r="EQ21" s="145"/>
      <c r="ER21" s="145"/>
      <c r="ES21" s="145"/>
      <c r="ET21" s="149"/>
      <c r="EU21" s="142">
        <f>IF(ISBLANK(Estudiantes3[[#This Row],[Columna145]]),Estudiantes3[[#This Row],[Columna147]],Estudiantes3[[#This Row],[Columna145]])</f>
        <v>0</v>
      </c>
      <c r="EV21" s="149"/>
      <c r="EW21" s="145"/>
      <c r="EX21" s="145"/>
      <c r="EY21" s="145"/>
      <c r="EZ21" s="145"/>
      <c r="FA21" s="145"/>
      <c r="FB21" s="149"/>
      <c r="FC21" s="142">
        <f>IF(ISBLANK(Estudiantes3[[#This Row],[Columna153]]),Estudiantes3[[#This Row],[Columna155]],Estudiantes3[[#This Row],[Columna153]])</f>
        <v>0</v>
      </c>
      <c r="FD21" s="149"/>
      <c r="FE21" s="145"/>
      <c r="FF21" s="145"/>
      <c r="FG21" s="145"/>
      <c r="FH21" s="145"/>
      <c r="FI21" s="145"/>
      <c r="FJ21" s="149"/>
      <c r="FK21" s="142">
        <f>IF(ISBLANK(Estudiantes3[[#This Row],[Columna161]]),Estudiantes3[[#This Row],[Columna163]],Estudiantes3[[#This Row],[Columna161]])</f>
        <v>0</v>
      </c>
      <c r="FL21" s="149"/>
      <c r="FM21" s="150">
        <f t="shared" si="1"/>
        <v>43</v>
      </c>
      <c r="FN21" s="151"/>
    </row>
    <row r="22" spans="1:170" ht="15.6" x14ac:dyDescent="0.3">
      <c r="A22" s="135" t="s">
        <v>292</v>
      </c>
      <c r="B22" s="135" t="s">
        <v>293</v>
      </c>
      <c r="C22" s="135" t="s">
        <v>294</v>
      </c>
      <c r="D22" s="152">
        <v>208980531</v>
      </c>
      <c r="E22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2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2" s="136">
        <f t="shared" si="0"/>
        <v>0</v>
      </c>
      <c r="H22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2" s="138"/>
      <c r="J22" s="139"/>
      <c r="K22" s="138"/>
      <c r="L22" s="139"/>
      <c r="M22" s="140"/>
      <c r="N22" s="141">
        <v>3</v>
      </c>
      <c r="O22" s="142">
        <f>IF(ISBLANK(Estudiantes3[[#This Row],[Columna10]]),Estudiantes3[[#This Row],[AJ]],Estudiantes3[[#This Row],[Columna10]])</f>
        <v>3</v>
      </c>
      <c r="P22" s="143"/>
      <c r="Q22" s="144"/>
      <c r="R22" s="145"/>
      <c r="S22" s="145"/>
      <c r="T22" s="145"/>
      <c r="U22" s="145"/>
      <c r="V22" s="146">
        <v>3</v>
      </c>
      <c r="W22" s="147">
        <f>IF(ISBLANK(Estudiantes3[[#This Row],[Columna17]]),Estudiantes3[[#This Row],[Columna19]],Estudiantes3[[#This Row],[Columna17]])</f>
        <v>3</v>
      </c>
      <c r="X22" s="148"/>
      <c r="Y22" s="145"/>
      <c r="Z22" s="145"/>
      <c r="AA22" s="145"/>
      <c r="AB22" s="145"/>
      <c r="AC22" s="145"/>
      <c r="AD22" s="149">
        <v>3</v>
      </c>
      <c r="AE22" s="142">
        <f>IF(ISBLANK(Estudiantes3[[#This Row],[Columna25]]),Estudiantes3[[#This Row],[Columna27]],Estudiantes3[[#This Row],[Columna25]])</f>
        <v>3</v>
      </c>
      <c r="AF22" s="149"/>
      <c r="AG22" s="145"/>
      <c r="AH22" s="145"/>
      <c r="AI22" s="145"/>
      <c r="AJ22" s="145"/>
      <c r="AK22" s="145"/>
      <c r="AL22" s="149">
        <v>3</v>
      </c>
      <c r="AM22" s="142">
        <f>IF(ISBLANK(Estudiantes3[[#This Row],[Columna33]]),Estudiantes3[[#This Row],[Columna35]],Estudiantes3[[#This Row],[Columna33]])</f>
        <v>3</v>
      </c>
      <c r="AN22" s="149"/>
      <c r="AO22" s="145"/>
      <c r="AP22" s="145"/>
      <c r="AQ22" s="145"/>
      <c r="AR22" s="145"/>
      <c r="AS22" s="145"/>
      <c r="AT22" s="149">
        <v>3</v>
      </c>
      <c r="AU22" s="142">
        <f>IF(ISBLANK(Estudiantes3[[#This Row],[Columna41]]),Estudiantes3[[#This Row],[Columna43]],Estudiantes3[[#This Row],[Columna41]])</f>
        <v>3</v>
      </c>
      <c r="AV22" s="149"/>
      <c r="AW22" s="145"/>
      <c r="AX22" s="145"/>
      <c r="AY22" s="145"/>
      <c r="AZ22" s="145"/>
      <c r="BA22" s="145"/>
      <c r="BB22" s="149">
        <v>3</v>
      </c>
      <c r="BC22" s="142">
        <f>IF(ISBLANK(Estudiantes3[[#This Row],[Columna49]]),Estudiantes3[[#This Row],[Columna51]],Estudiantes3[[#This Row],[Columna49]])</f>
        <v>3</v>
      </c>
      <c r="BD22" s="149"/>
      <c r="BE22" s="145"/>
      <c r="BF22" s="145"/>
      <c r="BG22" s="145"/>
      <c r="BH22" s="145"/>
      <c r="BI22" s="145"/>
      <c r="BJ22" s="149">
        <v>3</v>
      </c>
      <c r="BK22" s="142">
        <f>IF(ISBLANK(Estudiantes3[[#This Row],[Columna57]]),Estudiantes3[[#This Row],[Columna59]],Estudiantes3[[#This Row],[Columna57]])</f>
        <v>3</v>
      </c>
      <c r="BL22" s="149"/>
      <c r="BM22" s="145"/>
      <c r="BN22" s="145"/>
      <c r="BO22" s="145"/>
      <c r="BP22" s="145"/>
      <c r="BQ22" s="145"/>
      <c r="BR22" s="149">
        <v>3</v>
      </c>
      <c r="BS22" s="142">
        <f>IF(ISBLANK(Estudiantes3[[#This Row],[Columna65]]),Estudiantes3[[#This Row],[Columna67]],Estudiantes3[[#This Row],[Columna65]])</f>
        <v>3</v>
      </c>
      <c r="BT22" s="149"/>
      <c r="BU22" s="145"/>
      <c r="BV22" s="145"/>
      <c r="BW22" s="145"/>
      <c r="BX22" s="145"/>
      <c r="BY22" s="145"/>
      <c r="BZ22" s="149">
        <v>3</v>
      </c>
      <c r="CA22" s="142">
        <f>IF(ISBLANK(Estudiantes3[[#This Row],[Columna73]]),Estudiantes3[[#This Row],[Columna75]],Estudiantes3[[#This Row],[Columna73]])</f>
        <v>3</v>
      </c>
      <c r="CB22" s="149"/>
      <c r="CC22" s="145"/>
      <c r="CD22" s="145"/>
      <c r="CE22" s="145"/>
      <c r="CF22" s="145"/>
      <c r="CG22" s="145"/>
      <c r="CH22" s="149">
        <v>3</v>
      </c>
      <c r="CI22" s="142">
        <f>IF(ISBLANK(Estudiantes3[[#This Row],[Columna81]]),Estudiantes3[[#This Row],[Columna83]],Estudiantes3[[#This Row],[Columna81]])</f>
        <v>3</v>
      </c>
      <c r="CJ22" s="149"/>
      <c r="CK22" s="145"/>
      <c r="CL22" s="145"/>
      <c r="CM22" s="145"/>
      <c r="CN22" s="145"/>
      <c r="CO22" s="145"/>
      <c r="CP22" s="149">
        <v>3</v>
      </c>
      <c r="CQ22" s="142">
        <f>IF(ISBLANK(Estudiantes3[[#This Row],[Columna89]]),Estudiantes3[[#This Row],[Columna91]],Estudiantes3[[#This Row],[Columna89]])</f>
        <v>3</v>
      </c>
      <c r="CR22" s="149"/>
      <c r="CS22" s="145"/>
      <c r="CT22" s="145"/>
      <c r="CU22" s="145"/>
      <c r="CV22" s="145"/>
      <c r="CW22" s="145"/>
      <c r="CX22" s="149">
        <v>3</v>
      </c>
      <c r="CY22" s="142">
        <f>IF(ISBLANK(Estudiantes3[[#This Row],[Columna97]]),Estudiantes3[[#This Row],[Columna99]],Estudiantes3[[#This Row],[Columna97]])</f>
        <v>3</v>
      </c>
      <c r="CZ22" s="149"/>
      <c r="DA22" s="145"/>
      <c r="DB22" s="145"/>
      <c r="DC22" s="145"/>
      <c r="DD22" s="145"/>
      <c r="DE22" s="145"/>
      <c r="DF22" s="149">
        <v>3</v>
      </c>
      <c r="DG22" s="142">
        <f>IF(ISBLANK(Estudiantes3[[#This Row],[Columna105]]),Estudiantes3[[#This Row],[Columna107]],Estudiantes3[[#This Row],[Columna105]])</f>
        <v>3</v>
      </c>
      <c r="DH22" s="149"/>
      <c r="DI22" s="145"/>
      <c r="DJ22" s="145"/>
      <c r="DK22" s="145"/>
      <c r="DL22" s="145"/>
      <c r="DM22" s="145"/>
      <c r="DN22" s="149">
        <v>3</v>
      </c>
      <c r="DO22" s="142">
        <f>IF(ISBLANK(Estudiantes3[[#This Row],[Columna113]]),Estudiantes3[[#This Row],[Columna115]],Estudiantes3[[#This Row],[Columna113]])</f>
        <v>3</v>
      </c>
      <c r="DP22" s="149"/>
      <c r="DQ22" s="145"/>
      <c r="DR22" s="145"/>
      <c r="DS22" s="145"/>
      <c r="DT22" s="145"/>
      <c r="DU22" s="145"/>
      <c r="DV22" s="149">
        <v>3</v>
      </c>
      <c r="DW22" s="142">
        <f>IF(ISBLANK(Estudiantes3[[#This Row],[Columna121]]),Estudiantes3[[#This Row],[Columna123]],Estudiantes3[[#This Row],[Columna121]])</f>
        <v>3</v>
      </c>
      <c r="DX22" s="149"/>
      <c r="DY22" s="145"/>
      <c r="DZ22" s="145"/>
      <c r="EA22" s="145"/>
      <c r="EB22" s="145"/>
      <c r="EC22" s="145"/>
      <c r="ED22" s="149"/>
      <c r="EE22" s="142">
        <f>IF(ISBLANK(Estudiantes3[[#This Row],[Columna129]]),Estudiantes3[[#This Row],[Columna131]],Estudiantes3[[#This Row],[Columna129]])</f>
        <v>0</v>
      </c>
      <c r="EF22" s="149"/>
      <c r="EG22" s="145"/>
      <c r="EH22" s="145"/>
      <c r="EI22" s="145"/>
      <c r="EJ22" s="145"/>
      <c r="EK22" s="145"/>
      <c r="EL22" s="149"/>
      <c r="EM22" s="142">
        <f>IF(ISBLANK(Estudiantes3[[#This Row],[Columna137]]),Estudiantes3[[#This Row],[Columna139]],Estudiantes3[[#This Row],[Columna137]])</f>
        <v>0</v>
      </c>
      <c r="EN22" s="149"/>
      <c r="EO22" s="145"/>
      <c r="EP22" s="145"/>
      <c r="EQ22" s="145"/>
      <c r="ER22" s="145"/>
      <c r="ES22" s="145"/>
      <c r="ET22" s="149"/>
      <c r="EU22" s="142">
        <f>IF(ISBLANK(Estudiantes3[[#This Row],[Columna145]]),Estudiantes3[[#This Row],[Columna147]],Estudiantes3[[#This Row],[Columna145]])</f>
        <v>0</v>
      </c>
      <c r="EV22" s="149"/>
      <c r="EW22" s="145"/>
      <c r="EX22" s="145"/>
      <c r="EY22" s="145"/>
      <c r="EZ22" s="145"/>
      <c r="FA22" s="145"/>
      <c r="FB22" s="149"/>
      <c r="FC22" s="142">
        <f>IF(ISBLANK(Estudiantes3[[#This Row],[Columna153]]),Estudiantes3[[#This Row],[Columna155]],Estudiantes3[[#This Row],[Columna153]])</f>
        <v>0</v>
      </c>
      <c r="FD22" s="149"/>
      <c r="FE22" s="145"/>
      <c r="FF22" s="145"/>
      <c r="FG22" s="145"/>
      <c r="FH22" s="145"/>
      <c r="FI22" s="145"/>
      <c r="FJ22" s="149"/>
      <c r="FK22" s="142">
        <f>IF(ISBLANK(Estudiantes3[[#This Row],[Columna161]]),Estudiantes3[[#This Row],[Columna163]],Estudiantes3[[#This Row],[Columna161]])</f>
        <v>0</v>
      </c>
      <c r="FL22" s="149"/>
      <c r="FM22" s="150">
        <f t="shared" si="1"/>
        <v>43</v>
      </c>
      <c r="FN22" s="151"/>
    </row>
    <row r="23" spans="1:170" ht="15.6" x14ac:dyDescent="0.3">
      <c r="A23" s="135" t="s">
        <v>295</v>
      </c>
      <c r="B23" s="135" t="s">
        <v>296</v>
      </c>
      <c r="C23" s="135" t="s">
        <v>297</v>
      </c>
      <c r="D23" s="152">
        <v>208990532</v>
      </c>
      <c r="E23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3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3" s="136">
        <f t="shared" si="0"/>
        <v>0</v>
      </c>
      <c r="H23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3" s="138"/>
      <c r="J23" s="139"/>
      <c r="K23" s="138"/>
      <c r="L23" s="139"/>
      <c r="M23" s="140"/>
      <c r="N23" s="141">
        <v>3</v>
      </c>
      <c r="O23" s="142">
        <f>IF(ISBLANK(Estudiantes3[[#This Row],[Columna10]]),Estudiantes3[[#This Row],[AJ]],Estudiantes3[[#This Row],[Columna10]])</f>
        <v>3</v>
      </c>
      <c r="P23" s="143"/>
      <c r="Q23" s="144"/>
      <c r="R23" s="145"/>
      <c r="S23" s="145"/>
      <c r="T23" s="145"/>
      <c r="U23" s="145"/>
      <c r="V23" s="146">
        <v>3</v>
      </c>
      <c r="W23" s="147">
        <f>IF(ISBLANK(Estudiantes3[[#This Row],[Columna17]]),Estudiantes3[[#This Row],[Columna19]],Estudiantes3[[#This Row],[Columna17]])</f>
        <v>3</v>
      </c>
      <c r="X23" s="148"/>
      <c r="Y23" s="145"/>
      <c r="Z23" s="145"/>
      <c r="AA23" s="145"/>
      <c r="AB23" s="145"/>
      <c r="AC23" s="145"/>
      <c r="AD23" s="149">
        <v>3</v>
      </c>
      <c r="AE23" s="142">
        <f>IF(ISBLANK(Estudiantes3[[#This Row],[Columna25]]),Estudiantes3[[#This Row],[Columna27]],Estudiantes3[[#This Row],[Columna25]])</f>
        <v>3</v>
      </c>
      <c r="AF23" s="149"/>
      <c r="AG23" s="145"/>
      <c r="AH23" s="145"/>
      <c r="AI23" s="145"/>
      <c r="AJ23" s="145"/>
      <c r="AK23" s="145"/>
      <c r="AL23" s="149">
        <v>3</v>
      </c>
      <c r="AM23" s="142">
        <f>IF(ISBLANK(Estudiantes3[[#This Row],[Columna33]]),Estudiantes3[[#This Row],[Columna35]],Estudiantes3[[#This Row],[Columna33]])</f>
        <v>3</v>
      </c>
      <c r="AN23" s="149"/>
      <c r="AO23" s="145"/>
      <c r="AP23" s="145"/>
      <c r="AQ23" s="145"/>
      <c r="AR23" s="145"/>
      <c r="AS23" s="145"/>
      <c r="AT23" s="149">
        <v>3</v>
      </c>
      <c r="AU23" s="142">
        <f>IF(ISBLANK(Estudiantes3[[#This Row],[Columna41]]),Estudiantes3[[#This Row],[Columna43]],Estudiantes3[[#This Row],[Columna41]])</f>
        <v>3</v>
      </c>
      <c r="AV23" s="149"/>
      <c r="AW23" s="145"/>
      <c r="AX23" s="145"/>
      <c r="AY23" s="145"/>
      <c r="AZ23" s="145"/>
      <c r="BA23" s="145"/>
      <c r="BB23" s="149">
        <v>3</v>
      </c>
      <c r="BC23" s="142">
        <f>IF(ISBLANK(Estudiantes3[[#This Row],[Columna49]]),Estudiantes3[[#This Row],[Columna51]],Estudiantes3[[#This Row],[Columna49]])</f>
        <v>3</v>
      </c>
      <c r="BD23" s="149"/>
      <c r="BE23" s="145"/>
      <c r="BF23" s="145"/>
      <c r="BG23" s="145"/>
      <c r="BH23" s="145"/>
      <c r="BI23" s="145"/>
      <c r="BJ23" s="149">
        <v>3</v>
      </c>
      <c r="BK23" s="142">
        <f>IF(ISBLANK(Estudiantes3[[#This Row],[Columna57]]),Estudiantes3[[#This Row],[Columna59]],Estudiantes3[[#This Row],[Columna57]])</f>
        <v>3</v>
      </c>
      <c r="BL23" s="149"/>
      <c r="BM23" s="145"/>
      <c r="BN23" s="145"/>
      <c r="BO23" s="145"/>
      <c r="BP23" s="145"/>
      <c r="BQ23" s="145"/>
      <c r="BR23" s="149">
        <v>3</v>
      </c>
      <c r="BS23" s="142">
        <f>IF(ISBLANK(Estudiantes3[[#This Row],[Columna65]]),Estudiantes3[[#This Row],[Columna67]],Estudiantes3[[#This Row],[Columna65]])</f>
        <v>3</v>
      </c>
      <c r="BT23" s="149"/>
      <c r="BU23" s="145"/>
      <c r="BV23" s="145"/>
      <c r="BW23" s="145"/>
      <c r="BX23" s="145"/>
      <c r="BY23" s="145"/>
      <c r="BZ23" s="149">
        <v>3</v>
      </c>
      <c r="CA23" s="142">
        <f>IF(ISBLANK(Estudiantes3[[#This Row],[Columna73]]),Estudiantes3[[#This Row],[Columna75]],Estudiantes3[[#This Row],[Columna73]])</f>
        <v>3</v>
      </c>
      <c r="CB23" s="149"/>
      <c r="CC23" s="145"/>
      <c r="CD23" s="145"/>
      <c r="CE23" s="145"/>
      <c r="CF23" s="145"/>
      <c r="CG23" s="145"/>
      <c r="CH23" s="149">
        <v>3</v>
      </c>
      <c r="CI23" s="142">
        <f>IF(ISBLANK(Estudiantes3[[#This Row],[Columna81]]),Estudiantes3[[#This Row],[Columna83]],Estudiantes3[[#This Row],[Columna81]])</f>
        <v>3</v>
      </c>
      <c r="CJ23" s="149"/>
      <c r="CK23" s="145"/>
      <c r="CL23" s="145"/>
      <c r="CM23" s="145"/>
      <c r="CN23" s="145"/>
      <c r="CO23" s="145"/>
      <c r="CP23" s="149">
        <v>3</v>
      </c>
      <c r="CQ23" s="142">
        <f>IF(ISBLANK(Estudiantes3[[#This Row],[Columna89]]),Estudiantes3[[#This Row],[Columna91]],Estudiantes3[[#This Row],[Columna89]])</f>
        <v>3</v>
      </c>
      <c r="CR23" s="149"/>
      <c r="CS23" s="145"/>
      <c r="CT23" s="145"/>
      <c r="CU23" s="145"/>
      <c r="CV23" s="145"/>
      <c r="CW23" s="145"/>
      <c r="CX23" s="149">
        <v>3</v>
      </c>
      <c r="CY23" s="142">
        <f>IF(ISBLANK(Estudiantes3[[#This Row],[Columna97]]),Estudiantes3[[#This Row],[Columna99]],Estudiantes3[[#This Row],[Columna97]])</f>
        <v>3</v>
      </c>
      <c r="CZ23" s="149"/>
      <c r="DA23" s="145"/>
      <c r="DB23" s="145"/>
      <c r="DC23" s="145"/>
      <c r="DD23" s="145"/>
      <c r="DE23" s="145"/>
      <c r="DF23" s="149">
        <v>3</v>
      </c>
      <c r="DG23" s="142">
        <f>IF(ISBLANK(Estudiantes3[[#This Row],[Columna105]]),Estudiantes3[[#This Row],[Columna107]],Estudiantes3[[#This Row],[Columna105]])</f>
        <v>3</v>
      </c>
      <c r="DH23" s="149"/>
      <c r="DI23" s="145"/>
      <c r="DJ23" s="145"/>
      <c r="DK23" s="145"/>
      <c r="DL23" s="145"/>
      <c r="DM23" s="145"/>
      <c r="DN23" s="149">
        <v>3</v>
      </c>
      <c r="DO23" s="142">
        <f>IF(ISBLANK(Estudiantes3[[#This Row],[Columna113]]),Estudiantes3[[#This Row],[Columna115]],Estudiantes3[[#This Row],[Columna113]])</f>
        <v>3</v>
      </c>
      <c r="DP23" s="149"/>
      <c r="DQ23" s="145"/>
      <c r="DR23" s="145"/>
      <c r="DS23" s="145"/>
      <c r="DT23" s="145"/>
      <c r="DU23" s="145"/>
      <c r="DV23" s="149">
        <v>3</v>
      </c>
      <c r="DW23" s="142">
        <f>IF(ISBLANK(Estudiantes3[[#This Row],[Columna121]]),Estudiantes3[[#This Row],[Columna123]],Estudiantes3[[#This Row],[Columna121]])</f>
        <v>3</v>
      </c>
      <c r="DX23" s="149"/>
      <c r="DY23" s="145"/>
      <c r="DZ23" s="145"/>
      <c r="EA23" s="145"/>
      <c r="EB23" s="145"/>
      <c r="EC23" s="145"/>
      <c r="ED23" s="149"/>
      <c r="EE23" s="142">
        <f>IF(ISBLANK(Estudiantes3[[#This Row],[Columna129]]),Estudiantes3[[#This Row],[Columna131]],Estudiantes3[[#This Row],[Columna129]])</f>
        <v>0</v>
      </c>
      <c r="EF23" s="149"/>
      <c r="EG23" s="145"/>
      <c r="EH23" s="145"/>
      <c r="EI23" s="145"/>
      <c r="EJ23" s="145"/>
      <c r="EK23" s="145"/>
      <c r="EL23" s="149"/>
      <c r="EM23" s="142">
        <f>IF(ISBLANK(Estudiantes3[[#This Row],[Columna137]]),Estudiantes3[[#This Row],[Columna139]],Estudiantes3[[#This Row],[Columna137]])</f>
        <v>0</v>
      </c>
      <c r="EN23" s="149"/>
      <c r="EO23" s="145"/>
      <c r="EP23" s="145"/>
      <c r="EQ23" s="145"/>
      <c r="ER23" s="145"/>
      <c r="ES23" s="145"/>
      <c r="ET23" s="149"/>
      <c r="EU23" s="142">
        <f>IF(ISBLANK(Estudiantes3[[#This Row],[Columna145]]),Estudiantes3[[#This Row],[Columna147]],Estudiantes3[[#This Row],[Columna145]])</f>
        <v>0</v>
      </c>
      <c r="EV23" s="149"/>
      <c r="EW23" s="145"/>
      <c r="EX23" s="145"/>
      <c r="EY23" s="145"/>
      <c r="EZ23" s="145"/>
      <c r="FA23" s="145"/>
      <c r="FB23" s="149"/>
      <c r="FC23" s="142">
        <f>IF(ISBLANK(Estudiantes3[[#This Row],[Columna153]]),Estudiantes3[[#This Row],[Columna155]],Estudiantes3[[#This Row],[Columna153]])</f>
        <v>0</v>
      </c>
      <c r="FD23" s="149"/>
      <c r="FE23" s="145"/>
      <c r="FF23" s="145"/>
      <c r="FG23" s="145"/>
      <c r="FH23" s="145"/>
      <c r="FI23" s="145"/>
      <c r="FJ23" s="149"/>
      <c r="FK23" s="142">
        <f>IF(ISBLANK(Estudiantes3[[#This Row],[Columna161]]),Estudiantes3[[#This Row],[Columna163]],Estudiantes3[[#This Row],[Columna161]])</f>
        <v>0</v>
      </c>
      <c r="FL23" s="149"/>
      <c r="FM23" s="150">
        <f t="shared" si="1"/>
        <v>43</v>
      </c>
      <c r="FN23" s="151"/>
    </row>
    <row r="24" spans="1:170" ht="15.6" x14ac:dyDescent="0.3">
      <c r="A24" s="135" t="s">
        <v>298</v>
      </c>
      <c r="B24" s="135" t="s">
        <v>292</v>
      </c>
      <c r="C24" s="135" t="s">
        <v>299</v>
      </c>
      <c r="D24" s="152">
        <v>209040294</v>
      </c>
      <c r="E24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4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4" s="136">
        <f t="shared" si="0"/>
        <v>0</v>
      </c>
      <c r="H24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4" s="138"/>
      <c r="J24" s="139"/>
      <c r="K24" s="138"/>
      <c r="L24" s="139"/>
      <c r="M24" s="140"/>
      <c r="N24" s="141">
        <v>3</v>
      </c>
      <c r="O24" s="142">
        <f>IF(ISBLANK(Estudiantes3[[#This Row],[Columna10]]),Estudiantes3[[#This Row],[AJ]],Estudiantes3[[#This Row],[Columna10]])</f>
        <v>3</v>
      </c>
      <c r="P24" s="143"/>
      <c r="Q24" s="144"/>
      <c r="R24" s="145"/>
      <c r="S24" s="145"/>
      <c r="T24" s="145"/>
      <c r="U24" s="145"/>
      <c r="V24" s="146">
        <v>3</v>
      </c>
      <c r="W24" s="147">
        <f>IF(ISBLANK(Estudiantes3[[#This Row],[Columna17]]),Estudiantes3[[#This Row],[Columna19]],Estudiantes3[[#This Row],[Columna17]])</f>
        <v>3</v>
      </c>
      <c r="X24" s="148"/>
      <c r="Y24" s="145"/>
      <c r="Z24" s="145"/>
      <c r="AA24" s="145"/>
      <c r="AB24" s="145"/>
      <c r="AC24" s="145"/>
      <c r="AD24" s="149">
        <v>3</v>
      </c>
      <c r="AE24" s="142">
        <f>IF(ISBLANK(Estudiantes3[[#This Row],[Columna25]]),Estudiantes3[[#This Row],[Columna27]],Estudiantes3[[#This Row],[Columna25]])</f>
        <v>3</v>
      </c>
      <c r="AF24" s="149"/>
      <c r="AG24" s="145"/>
      <c r="AH24" s="145"/>
      <c r="AI24" s="145"/>
      <c r="AJ24" s="145"/>
      <c r="AK24" s="145"/>
      <c r="AL24" s="149">
        <v>3</v>
      </c>
      <c r="AM24" s="142">
        <f>IF(ISBLANK(Estudiantes3[[#This Row],[Columna33]]),Estudiantes3[[#This Row],[Columna35]],Estudiantes3[[#This Row],[Columna33]])</f>
        <v>3</v>
      </c>
      <c r="AN24" s="149"/>
      <c r="AO24" s="145"/>
      <c r="AP24" s="145"/>
      <c r="AQ24" s="145"/>
      <c r="AR24" s="145"/>
      <c r="AS24" s="145"/>
      <c r="AT24" s="149">
        <v>3</v>
      </c>
      <c r="AU24" s="142">
        <f>IF(ISBLANK(Estudiantes3[[#This Row],[Columna41]]),Estudiantes3[[#This Row],[Columna43]],Estudiantes3[[#This Row],[Columna41]])</f>
        <v>3</v>
      </c>
      <c r="AV24" s="149"/>
      <c r="AW24" s="145"/>
      <c r="AX24" s="145"/>
      <c r="AY24" s="145"/>
      <c r="AZ24" s="145"/>
      <c r="BA24" s="145"/>
      <c r="BB24" s="149">
        <v>3</v>
      </c>
      <c r="BC24" s="142">
        <f>IF(ISBLANK(Estudiantes3[[#This Row],[Columna49]]),Estudiantes3[[#This Row],[Columna51]],Estudiantes3[[#This Row],[Columna49]])</f>
        <v>3</v>
      </c>
      <c r="BD24" s="149"/>
      <c r="BE24" s="145"/>
      <c r="BF24" s="145"/>
      <c r="BG24" s="145"/>
      <c r="BH24" s="145"/>
      <c r="BI24" s="145"/>
      <c r="BJ24" s="149">
        <v>3</v>
      </c>
      <c r="BK24" s="142">
        <f>IF(ISBLANK(Estudiantes3[[#This Row],[Columna57]]),Estudiantes3[[#This Row],[Columna59]],Estudiantes3[[#This Row],[Columna57]])</f>
        <v>3</v>
      </c>
      <c r="BL24" s="149"/>
      <c r="BM24" s="145"/>
      <c r="BN24" s="145"/>
      <c r="BO24" s="145"/>
      <c r="BP24" s="145"/>
      <c r="BQ24" s="145"/>
      <c r="BR24" s="149">
        <v>3</v>
      </c>
      <c r="BS24" s="142">
        <f>IF(ISBLANK(Estudiantes3[[#This Row],[Columna65]]),Estudiantes3[[#This Row],[Columna67]],Estudiantes3[[#This Row],[Columna65]])</f>
        <v>3</v>
      </c>
      <c r="BT24" s="149"/>
      <c r="BU24" s="145"/>
      <c r="BV24" s="145"/>
      <c r="BW24" s="145"/>
      <c r="BX24" s="145"/>
      <c r="BY24" s="145"/>
      <c r="BZ24" s="149">
        <v>3</v>
      </c>
      <c r="CA24" s="142">
        <f>IF(ISBLANK(Estudiantes3[[#This Row],[Columna73]]),Estudiantes3[[#This Row],[Columna75]],Estudiantes3[[#This Row],[Columna73]])</f>
        <v>3</v>
      </c>
      <c r="CB24" s="149"/>
      <c r="CC24" s="145"/>
      <c r="CD24" s="145"/>
      <c r="CE24" s="145"/>
      <c r="CF24" s="145"/>
      <c r="CG24" s="145"/>
      <c r="CH24" s="149">
        <v>3</v>
      </c>
      <c r="CI24" s="142">
        <f>IF(ISBLANK(Estudiantes3[[#This Row],[Columna81]]),Estudiantes3[[#This Row],[Columna83]],Estudiantes3[[#This Row],[Columna81]])</f>
        <v>3</v>
      </c>
      <c r="CJ24" s="149"/>
      <c r="CK24" s="145"/>
      <c r="CL24" s="145"/>
      <c r="CM24" s="145"/>
      <c r="CN24" s="145"/>
      <c r="CO24" s="145"/>
      <c r="CP24" s="149">
        <v>3</v>
      </c>
      <c r="CQ24" s="142">
        <f>IF(ISBLANK(Estudiantes3[[#This Row],[Columna89]]),Estudiantes3[[#This Row],[Columna91]],Estudiantes3[[#This Row],[Columna89]])</f>
        <v>3</v>
      </c>
      <c r="CR24" s="149"/>
      <c r="CS24" s="145"/>
      <c r="CT24" s="145"/>
      <c r="CU24" s="145"/>
      <c r="CV24" s="145"/>
      <c r="CW24" s="145"/>
      <c r="CX24" s="149">
        <v>3</v>
      </c>
      <c r="CY24" s="142">
        <f>IF(ISBLANK(Estudiantes3[[#This Row],[Columna97]]),Estudiantes3[[#This Row],[Columna99]],Estudiantes3[[#This Row],[Columna97]])</f>
        <v>3</v>
      </c>
      <c r="CZ24" s="149"/>
      <c r="DA24" s="145"/>
      <c r="DB24" s="145"/>
      <c r="DC24" s="145"/>
      <c r="DD24" s="145"/>
      <c r="DE24" s="145"/>
      <c r="DF24" s="149">
        <v>3</v>
      </c>
      <c r="DG24" s="142">
        <f>IF(ISBLANK(Estudiantes3[[#This Row],[Columna105]]),Estudiantes3[[#This Row],[Columna107]],Estudiantes3[[#This Row],[Columna105]])</f>
        <v>3</v>
      </c>
      <c r="DH24" s="149"/>
      <c r="DI24" s="145"/>
      <c r="DJ24" s="145"/>
      <c r="DK24" s="145"/>
      <c r="DL24" s="145"/>
      <c r="DM24" s="145"/>
      <c r="DN24" s="149">
        <v>3</v>
      </c>
      <c r="DO24" s="142">
        <f>IF(ISBLANK(Estudiantes3[[#This Row],[Columna113]]),Estudiantes3[[#This Row],[Columna115]],Estudiantes3[[#This Row],[Columna113]])</f>
        <v>3</v>
      </c>
      <c r="DP24" s="149"/>
      <c r="DQ24" s="145"/>
      <c r="DR24" s="145"/>
      <c r="DS24" s="145"/>
      <c r="DT24" s="145"/>
      <c r="DU24" s="145"/>
      <c r="DV24" s="149">
        <v>3</v>
      </c>
      <c r="DW24" s="142">
        <f>IF(ISBLANK(Estudiantes3[[#This Row],[Columna121]]),Estudiantes3[[#This Row],[Columna123]],Estudiantes3[[#This Row],[Columna121]])</f>
        <v>3</v>
      </c>
      <c r="DX24" s="149"/>
      <c r="DY24" s="145"/>
      <c r="DZ24" s="145"/>
      <c r="EA24" s="145"/>
      <c r="EB24" s="145"/>
      <c r="EC24" s="145"/>
      <c r="ED24" s="149"/>
      <c r="EE24" s="142">
        <f>IF(ISBLANK(Estudiantes3[[#This Row],[Columna129]]),Estudiantes3[[#This Row],[Columna131]],Estudiantes3[[#This Row],[Columna129]])</f>
        <v>0</v>
      </c>
      <c r="EF24" s="149"/>
      <c r="EG24" s="145"/>
      <c r="EH24" s="145"/>
      <c r="EI24" s="145"/>
      <c r="EJ24" s="145"/>
      <c r="EK24" s="145"/>
      <c r="EL24" s="149"/>
      <c r="EM24" s="142">
        <f>IF(ISBLANK(Estudiantes3[[#This Row],[Columna137]]),Estudiantes3[[#This Row],[Columna139]],Estudiantes3[[#This Row],[Columna137]])</f>
        <v>0</v>
      </c>
      <c r="EN24" s="149"/>
      <c r="EO24" s="145"/>
      <c r="EP24" s="145"/>
      <c r="EQ24" s="145"/>
      <c r="ER24" s="145"/>
      <c r="ES24" s="145"/>
      <c r="ET24" s="149"/>
      <c r="EU24" s="142">
        <f>IF(ISBLANK(Estudiantes3[[#This Row],[Columna145]]),Estudiantes3[[#This Row],[Columna147]],Estudiantes3[[#This Row],[Columna145]])</f>
        <v>0</v>
      </c>
      <c r="EV24" s="149"/>
      <c r="EW24" s="145"/>
      <c r="EX24" s="145"/>
      <c r="EY24" s="145"/>
      <c r="EZ24" s="145"/>
      <c r="FA24" s="145"/>
      <c r="FB24" s="149"/>
      <c r="FC24" s="142">
        <f>IF(ISBLANK(Estudiantes3[[#This Row],[Columna153]]),Estudiantes3[[#This Row],[Columna155]],Estudiantes3[[#This Row],[Columna153]])</f>
        <v>0</v>
      </c>
      <c r="FD24" s="149"/>
      <c r="FE24" s="145"/>
      <c r="FF24" s="145"/>
      <c r="FG24" s="145"/>
      <c r="FH24" s="145"/>
      <c r="FI24" s="145"/>
      <c r="FJ24" s="149"/>
      <c r="FK24" s="142">
        <f>IF(ISBLANK(Estudiantes3[[#This Row],[Columna161]]),Estudiantes3[[#This Row],[Columna163]],Estudiantes3[[#This Row],[Columna161]])</f>
        <v>0</v>
      </c>
      <c r="FL24" s="149"/>
      <c r="FM24" s="150">
        <f t="shared" si="1"/>
        <v>43</v>
      </c>
      <c r="FN24" s="151"/>
    </row>
    <row r="25" spans="1:170" ht="15.6" x14ac:dyDescent="0.3">
      <c r="A25" s="135" t="s">
        <v>266</v>
      </c>
      <c r="B25" s="135" t="s">
        <v>300</v>
      </c>
      <c r="C25" s="135" t="s">
        <v>301</v>
      </c>
      <c r="D25" s="152">
        <v>209020129</v>
      </c>
      <c r="E25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5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5" s="136">
        <f t="shared" si="0"/>
        <v>0</v>
      </c>
      <c r="H25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5" s="138"/>
      <c r="J25" s="139"/>
      <c r="K25" s="138"/>
      <c r="L25" s="139"/>
      <c r="M25" s="140"/>
      <c r="N25" s="141">
        <v>3</v>
      </c>
      <c r="O25" s="142">
        <f>IF(ISBLANK(Estudiantes3[[#This Row],[Columna10]]),Estudiantes3[[#This Row],[AJ]],Estudiantes3[[#This Row],[Columna10]])</f>
        <v>3</v>
      </c>
      <c r="P25" s="143"/>
      <c r="Q25" s="144"/>
      <c r="R25" s="145"/>
      <c r="S25" s="145"/>
      <c r="T25" s="145"/>
      <c r="U25" s="145"/>
      <c r="V25" s="146">
        <v>3</v>
      </c>
      <c r="W25" s="147">
        <f>IF(ISBLANK(Estudiantes3[[#This Row],[Columna17]]),Estudiantes3[[#This Row],[Columna19]],Estudiantes3[[#This Row],[Columna17]])</f>
        <v>3</v>
      </c>
      <c r="X25" s="148"/>
      <c r="Y25" s="145"/>
      <c r="Z25" s="145"/>
      <c r="AA25" s="145"/>
      <c r="AB25" s="145"/>
      <c r="AC25" s="145"/>
      <c r="AD25" s="149">
        <v>3</v>
      </c>
      <c r="AE25" s="142">
        <f>IF(ISBLANK(Estudiantes3[[#This Row],[Columna25]]),Estudiantes3[[#This Row],[Columna27]],Estudiantes3[[#This Row],[Columna25]])</f>
        <v>3</v>
      </c>
      <c r="AF25" s="149"/>
      <c r="AG25" s="145"/>
      <c r="AH25" s="145"/>
      <c r="AI25" s="145"/>
      <c r="AJ25" s="145"/>
      <c r="AK25" s="145"/>
      <c r="AL25" s="149">
        <v>3</v>
      </c>
      <c r="AM25" s="142">
        <f>IF(ISBLANK(Estudiantes3[[#This Row],[Columna33]]),Estudiantes3[[#This Row],[Columna35]],Estudiantes3[[#This Row],[Columna33]])</f>
        <v>3</v>
      </c>
      <c r="AN25" s="149"/>
      <c r="AO25" s="145"/>
      <c r="AP25" s="145"/>
      <c r="AQ25" s="145"/>
      <c r="AR25" s="145"/>
      <c r="AS25" s="145"/>
      <c r="AT25" s="149">
        <v>3</v>
      </c>
      <c r="AU25" s="142">
        <f>IF(ISBLANK(Estudiantes3[[#This Row],[Columna41]]),Estudiantes3[[#This Row],[Columna43]],Estudiantes3[[#This Row],[Columna41]])</f>
        <v>3</v>
      </c>
      <c r="AV25" s="149"/>
      <c r="AW25" s="145"/>
      <c r="AX25" s="145"/>
      <c r="AY25" s="145"/>
      <c r="AZ25" s="145"/>
      <c r="BA25" s="145"/>
      <c r="BB25" s="149">
        <v>3</v>
      </c>
      <c r="BC25" s="142">
        <f>IF(ISBLANK(Estudiantes3[[#This Row],[Columna49]]),Estudiantes3[[#This Row],[Columna51]],Estudiantes3[[#This Row],[Columna49]])</f>
        <v>3</v>
      </c>
      <c r="BD25" s="149"/>
      <c r="BE25" s="145"/>
      <c r="BF25" s="145"/>
      <c r="BG25" s="145"/>
      <c r="BH25" s="145"/>
      <c r="BI25" s="145"/>
      <c r="BJ25" s="149">
        <v>3</v>
      </c>
      <c r="BK25" s="142">
        <f>IF(ISBLANK(Estudiantes3[[#This Row],[Columna57]]),Estudiantes3[[#This Row],[Columna59]],Estudiantes3[[#This Row],[Columna57]])</f>
        <v>3</v>
      </c>
      <c r="BL25" s="149"/>
      <c r="BM25" s="145"/>
      <c r="BN25" s="145"/>
      <c r="BO25" s="145"/>
      <c r="BP25" s="145"/>
      <c r="BQ25" s="145"/>
      <c r="BR25" s="149">
        <v>3</v>
      </c>
      <c r="BS25" s="142">
        <f>IF(ISBLANK(Estudiantes3[[#This Row],[Columna65]]),Estudiantes3[[#This Row],[Columna67]],Estudiantes3[[#This Row],[Columna65]])</f>
        <v>3</v>
      </c>
      <c r="BT25" s="149"/>
      <c r="BU25" s="145"/>
      <c r="BV25" s="145"/>
      <c r="BW25" s="145"/>
      <c r="BX25" s="145"/>
      <c r="BY25" s="145"/>
      <c r="BZ25" s="149">
        <v>3</v>
      </c>
      <c r="CA25" s="142">
        <f>IF(ISBLANK(Estudiantes3[[#This Row],[Columna73]]),Estudiantes3[[#This Row],[Columna75]],Estudiantes3[[#This Row],[Columna73]])</f>
        <v>3</v>
      </c>
      <c r="CB25" s="149"/>
      <c r="CC25" s="145"/>
      <c r="CD25" s="145"/>
      <c r="CE25" s="145"/>
      <c r="CF25" s="145"/>
      <c r="CG25" s="145"/>
      <c r="CH25" s="149">
        <v>3</v>
      </c>
      <c r="CI25" s="142">
        <f>IF(ISBLANK(Estudiantes3[[#This Row],[Columna81]]),Estudiantes3[[#This Row],[Columna83]],Estudiantes3[[#This Row],[Columna81]])</f>
        <v>3</v>
      </c>
      <c r="CJ25" s="149"/>
      <c r="CK25" s="145"/>
      <c r="CL25" s="145"/>
      <c r="CM25" s="145"/>
      <c r="CN25" s="145"/>
      <c r="CO25" s="145"/>
      <c r="CP25" s="149">
        <v>3</v>
      </c>
      <c r="CQ25" s="142">
        <f>IF(ISBLANK(Estudiantes3[[#This Row],[Columna89]]),Estudiantes3[[#This Row],[Columna91]],Estudiantes3[[#This Row],[Columna89]])</f>
        <v>3</v>
      </c>
      <c r="CR25" s="149"/>
      <c r="CS25" s="145"/>
      <c r="CT25" s="145"/>
      <c r="CU25" s="145"/>
      <c r="CV25" s="145"/>
      <c r="CW25" s="145"/>
      <c r="CX25" s="149">
        <v>3</v>
      </c>
      <c r="CY25" s="142">
        <f>IF(ISBLANK(Estudiantes3[[#This Row],[Columna97]]),Estudiantes3[[#This Row],[Columna99]],Estudiantes3[[#This Row],[Columna97]])</f>
        <v>3</v>
      </c>
      <c r="CZ25" s="149"/>
      <c r="DA25" s="145"/>
      <c r="DB25" s="145"/>
      <c r="DC25" s="145"/>
      <c r="DD25" s="145"/>
      <c r="DE25" s="145"/>
      <c r="DF25" s="149">
        <v>3</v>
      </c>
      <c r="DG25" s="142">
        <f>IF(ISBLANK(Estudiantes3[[#This Row],[Columna105]]),Estudiantes3[[#This Row],[Columna107]],Estudiantes3[[#This Row],[Columna105]])</f>
        <v>3</v>
      </c>
      <c r="DH25" s="149"/>
      <c r="DI25" s="145"/>
      <c r="DJ25" s="145"/>
      <c r="DK25" s="145"/>
      <c r="DL25" s="145"/>
      <c r="DM25" s="145"/>
      <c r="DN25" s="149">
        <v>3</v>
      </c>
      <c r="DO25" s="142">
        <f>IF(ISBLANK(Estudiantes3[[#This Row],[Columna113]]),Estudiantes3[[#This Row],[Columna115]],Estudiantes3[[#This Row],[Columna113]])</f>
        <v>3</v>
      </c>
      <c r="DP25" s="149"/>
      <c r="DQ25" s="145"/>
      <c r="DR25" s="145"/>
      <c r="DS25" s="145"/>
      <c r="DT25" s="145"/>
      <c r="DU25" s="145"/>
      <c r="DV25" s="149">
        <v>3</v>
      </c>
      <c r="DW25" s="142">
        <f>IF(ISBLANK(Estudiantes3[[#This Row],[Columna121]]),Estudiantes3[[#This Row],[Columna123]],Estudiantes3[[#This Row],[Columna121]])</f>
        <v>3</v>
      </c>
      <c r="DX25" s="149"/>
      <c r="DY25" s="145"/>
      <c r="DZ25" s="145"/>
      <c r="EA25" s="145"/>
      <c r="EB25" s="145"/>
      <c r="EC25" s="145"/>
      <c r="ED25" s="149"/>
      <c r="EE25" s="142">
        <f>IF(ISBLANK(Estudiantes3[[#This Row],[Columna129]]),Estudiantes3[[#This Row],[Columna131]],Estudiantes3[[#This Row],[Columna129]])</f>
        <v>0</v>
      </c>
      <c r="EF25" s="149"/>
      <c r="EG25" s="145"/>
      <c r="EH25" s="145"/>
      <c r="EI25" s="145"/>
      <c r="EJ25" s="145"/>
      <c r="EK25" s="145"/>
      <c r="EL25" s="149"/>
      <c r="EM25" s="142">
        <f>IF(ISBLANK(Estudiantes3[[#This Row],[Columna137]]),Estudiantes3[[#This Row],[Columna139]],Estudiantes3[[#This Row],[Columna137]])</f>
        <v>0</v>
      </c>
      <c r="EN25" s="149"/>
      <c r="EO25" s="145"/>
      <c r="EP25" s="145"/>
      <c r="EQ25" s="145"/>
      <c r="ER25" s="145"/>
      <c r="ES25" s="145"/>
      <c r="ET25" s="149"/>
      <c r="EU25" s="142">
        <f>IF(ISBLANK(Estudiantes3[[#This Row],[Columna145]]),Estudiantes3[[#This Row],[Columna147]],Estudiantes3[[#This Row],[Columna145]])</f>
        <v>0</v>
      </c>
      <c r="EV25" s="149"/>
      <c r="EW25" s="145"/>
      <c r="EX25" s="145"/>
      <c r="EY25" s="145"/>
      <c r="EZ25" s="145"/>
      <c r="FA25" s="145"/>
      <c r="FB25" s="149"/>
      <c r="FC25" s="142">
        <f>IF(ISBLANK(Estudiantes3[[#This Row],[Columna153]]),Estudiantes3[[#This Row],[Columna155]],Estudiantes3[[#This Row],[Columna153]])</f>
        <v>0</v>
      </c>
      <c r="FD25" s="149"/>
      <c r="FE25" s="145"/>
      <c r="FF25" s="145"/>
      <c r="FG25" s="145"/>
      <c r="FH25" s="145"/>
      <c r="FI25" s="145"/>
      <c r="FJ25" s="149"/>
      <c r="FK25" s="142">
        <f>IF(ISBLANK(Estudiantes3[[#This Row],[Columna161]]),Estudiantes3[[#This Row],[Columna163]],Estudiantes3[[#This Row],[Columna161]])</f>
        <v>0</v>
      </c>
      <c r="FL25" s="149"/>
      <c r="FM25" s="150">
        <f t="shared" si="1"/>
        <v>43</v>
      </c>
      <c r="FN25" s="151"/>
    </row>
    <row r="26" spans="1:170" ht="15.6" x14ac:dyDescent="0.3">
      <c r="A26" s="135" t="s">
        <v>287</v>
      </c>
      <c r="B26" s="135" t="s">
        <v>302</v>
      </c>
      <c r="C26" s="135" t="s">
        <v>303</v>
      </c>
      <c r="D26" s="152">
        <v>208980881</v>
      </c>
      <c r="E26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0</v>
      </c>
      <c r="F26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6" s="136">
        <f t="shared" si="0"/>
        <v>0</v>
      </c>
      <c r="H26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0</v>
      </c>
      <c r="I26" s="138"/>
      <c r="J26" s="139"/>
      <c r="K26" s="138"/>
      <c r="L26" s="139"/>
      <c r="M26" s="140"/>
      <c r="N26" s="141">
        <v>3</v>
      </c>
      <c r="O26" s="142">
        <f>IF(ISBLANK(Estudiantes3[[#This Row],[Columna10]]),Estudiantes3[[#This Row],[AJ]],Estudiantes3[[#This Row],[Columna10]])</f>
        <v>3</v>
      </c>
      <c r="P26" s="143"/>
      <c r="Q26" s="144"/>
      <c r="R26" s="145"/>
      <c r="S26" s="145"/>
      <c r="T26" s="145"/>
      <c r="U26" s="145"/>
      <c r="V26" s="146">
        <v>3</v>
      </c>
      <c r="W26" s="147">
        <f>IF(ISBLANK(Estudiantes3[[#This Row],[Columna17]]),Estudiantes3[[#This Row],[Columna19]],Estudiantes3[[#This Row],[Columna17]])</f>
        <v>3</v>
      </c>
      <c r="X26" s="148"/>
      <c r="Y26" s="145"/>
      <c r="Z26" s="145"/>
      <c r="AA26" s="145"/>
      <c r="AB26" s="145"/>
      <c r="AC26" s="145"/>
      <c r="AD26" s="149">
        <v>3</v>
      </c>
      <c r="AE26" s="142">
        <f>IF(ISBLANK(Estudiantes3[[#This Row],[Columna25]]),Estudiantes3[[#This Row],[Columna27]],Estudiantes3[[#This Row],[Columna25]])</f>
        <v>3</v>
      </c>
      <c r="AF26" s="149"/>
      <c r="AG26" s="145"/>
      <c r="AH26" s="145"/>
      <c r="AI26" s="145"/>
      <c r="AJ26" s="145"/>
      <c r="AK26" s="145"/>
      <c r="AL26" s="149">
        <v>3</v>
      </c>
      <c r="AM26" s="142">
        <f>IF(ISBLANK(Estudiantes3[[#This Row],[Columna33]]),Estudiantes3[[#This Row],[Columna35]],Estudiantes3[[#This Row],[Columna33]])</f>
        <v>3</v>
      </c>
      <c r="AN26" s="149"/>
      <c r="AO26" s="145"/>
      <c r="AP26" s="145"/>
      <c r="AQ26" s="145"/>
      <c r="AR26" s="145"/>
      <c r="AS26" s="145"/>
      <c r="AT26" s="149">
        <v>3</v>
      </c>
      <c r="AU26" s="142">
        <f>IF(ISBLANK(Estudiantes3[[#This Row],[Columna41]]),Estudiantes3[[#This Row],[Columna43]],Estudiantes3[[#This Row],[Columna41]])</f>
        <v>3</v>
      </c>
      <c r="AV26" s="149"/>
      <c r="AW26" s="145"/>
      <c r="AX26" s="145"/>
      <c r="AY26" s="145"/>
      <c r="AZ26" s="145"/>
      <c r="BA26" s="145"/>
      <c r="BB26" s="149">
        <v>3</v>
      </c>
      <c r="BC26" s="142">
        <f>IF(ISBLANK(Estudiantes3[[#This Row],[Columna49]]),Estudiantes3[[#This Row],[Columna51]],Estudiantes3[[#This Row],[Columna49]])</f>
        <v>3</v>
      </c>
      <c r="BD26" s="149"/>
      <c r="BE26" s="145"/>
      <c r="BF26" s="145"/>
      <c r="BG26" s="145"/>
      <c r="BH26" s="145"/>
      <c r="BI26" s="145"/>
      <c r="BJ26" s="149">
        <v>3</v>
      </c>
      <c r="BK26" s="142">
        <f>IF(ISBLANK(Estudiantes3[[#This Row],[Columna57]]),Estudiantes3[[#This Row],[Columna59]],Estudiantes3[[#This Row],[Columna57]])</f>
        <v>3</v>
      </c>
      <c r="BL26" s="149"/>
      <c r="BM26" s="145"/>
      <c r="BN26" s="145"/>
      <c r="BO26" s="145"/>
      <c r="BP26" s="145"/>
      <c r="BQ26" s="145"/>
      <c r="BR26" s="149">
        <v>3</v>
      </c>
      <c r="BS26" s="142">
        <f>IF(ISBLANK(Estudiantes3[[#This Row],[Columna65]]),Estudiantes3[[#This Row],[Columna67]],Estudiantes3[[#This Row],[Columna65]])</f>
        <v>3</v>
      </c>
      <c r="BT26" s="149"/>
      <c r="BU26" s="145"/>
      <c r="BV26" s="145"/>
      <c r="BW26" s="145"/>
      <c r="BX26" s="145"/>
      <c r="BY26" s="145"/>
      <c r="BZ26" s="149">
        <v>3</v>
      </c>
      <c r="CA26" s="142">
        <f>IF(ISBLANK(Estudiantes3[[#This Row],[Columna73]]),Estudiantes3[[#This Row],[Columna75]],Estudiantes3[[#This Row],[Columna73]])</f>
        <v>3</v>
      </c>
      <c r="CB26" s="149"/>
      <c r="CC26" s="145"/>
      <c r="CD26" s="145"/>
      <c r="CE26" s="145"/>
      <c r="CF26" s="145"/>
      <c r="CG26" s="145"/>
      <c r="CH26" s="149">
        <v>3</v>
      </c>
      <c r="CI26" s="142">
        <f>IF(ISBLANK(Estudiantes3[[#This Row],[Columna81]]),Estudiantes3[[#This Row],[Columna83]],Estudiantes3[[#This Row],[Columna81]])</f>
        <v>3</v>
      </c>
      <c r="CJ26" s="149"/>
      <c r="CK26" s="145"/>
      <c r="CL26" s="145"/>
      <c r="CM26" s="145"/>
      <c r="CN26" s="145"/>
      <c r="CO26" s="145"/>
      <c r="CP26" s="149">
        <v>3</v>
      </c>
      <c r="CQ26" s="142">
        <f>IF(ISBLANK(Estudiantes3[[#This Row],[Columna89]]),Estudiantes3[[#This Row],[Columna91]],Estudiantes3[[#This Row],[Columna89]])</f>
        <v>3</v>
      </c>
      <c r="CR26" s="149"/>
      <c r="CS26" s="145"/>
      <c r="CT26" s="145"/>
      <c r="CU26" s="145"/>
      <c r="CV26" s="145"/>
      <c r="CW26" s="145"/>
      <c r="CX26" s="149">
        <v>3</v>
      </c>
      <c r="CY26" s="142">
        <f>IF(ISBLANK(Estudiantes3[[#This Row],[Columna97]]),Estudiantes3[[#This Row],[Columna99]],Estudiantes3[[#This Row],[Columna97]])</f>
        <v>3</v>
      </c>
      <c r="CZ26" s="149"/>
      <c r="DA26" s="145"/>
      <c r="DB26" s="145"/>
      <c r="DC26" s="145"/>
      <c r="DD26" s="145"/>
      <c r="DE26" s="145"/>
      <c r="DF26" s="149">
        <v>3</v>
      </c>
      <c r="DG26" s="142">
        <f>IF(ISBLANK(Estudiantes3[[#This Row],[Columna105]]),Estudiantes3[[#This Row],[Columna107]],Estudiantes3[[#This Row],[Columna105]])</f>
        <v>3</v>
      </c>
      <c r="DH26" s="149"/>
      <c r="DI26" s="145"/>
      <c r="DJ26" s="145"/>
      <c r="DK26" s="145"/>
      <c r="DL26" s="145"/>
      <c r="DM26" s="145"/>
      <c r="DN26" s="149">
        <v>3</v>
      </c>
      <c r="DO26" s="142">
        <f>IF(ISBLANK(Estudiantes3[[#This Row],[Columna113]]),Estudiantes3[[#This Row],[Columna115]],Estudiantes3[[#This Row],[Columna113]])</f>
        <v>3</v>
      </c>
      <c r="DP26" s="149"/>
      <c r="DQ26" s="145"/>
      <c r="DR26" s="145"/>
      <c r="DS26" s="145"/>
      <c r="DT26" s="145"/>
      <c r="DU26" s="145"/>
      <c r="DV26" s="149">
        <v>3</v>
      </c>
      <c r="DW26" s="142">
        <f>IF(ISBLANK(Estudiantes3[[#This Row],[Columna121]]),Estudiantes3[[#This Row],[Columna123]],Estudiantes3[[#This Row],[Columna121]])</f>
        <v>3</v>
      </c>
      <c r="DX26" s="149"/>
      <c r="DY26" s="145"/>
      <c r="DZ26" s="145"/>
      <c r="EA26" s="145"/>
      <c r="EB26" s="145"/>
      <c r="EC26" s="145"/>
      <c r="ED26" s="149"/>
      <c r="EE26" s="142">
        <f>IF(ISBLANK(Estudiantes3[[#This Row],[Columna129]]),Estudiantes3[[#This Row],[Columna131]],Estudiantes3[[#This Row],[Columna129]])</f>
        <v>0</v>
      </c>
      <c r="EF26" s="149"/>
      <c r="EG26" s="145"/>
      <c r="EH26" s="145"/>
      <c r="EI26" s="145"/>
      <c r="EJ26" s="145"/>
      <c r="EK26" s="145"/>
      <c r="EL26" s="149"/>
      <c r="EM26" s="142">
        <f>IF(ISBLANK(Estudiantes3[[#This Row],[Columna137]]),Estudiantes3[[#This Row],[Columna139]],Estudiantes3[[#This Row],[Columna137]])</f>
        <v>0</v>
      </c>
      <c r="EN26" s="149"/>
      <c r="EO26" s="145"/>
      <c r="EP26" s="145"/>
      <c r="EQ26" s="145"/>
      <c r="ER26" s="145"/>
      <c r="ES26" s="145"/>
      <c r="ET26" s="149"/>
      <c r="EU26" s="142">
        <f>IF(ISBLANK(Estudiantes3[[#This Row],[Columna145]]),Estudiantes3[[#This Row],[Columna147]],Estudiantes3[[#This Row],[Columna145]])</f>
        <v>0</v>
      </c>
      <c r="EV26" s="149"/>
      <c r="EW26" s="145"/>
      <c r="EX26" s="145"/>
      <c r="EY26" s="145"/>
      <c r="EZ26" s="145"/>
      <c r="FA26" s="145"/>
      <c r="FB26" s="149"/>
      <c r="FC26" s="142">
        <f>IF(ISBLANK(Estudiantes3[[#This Row],[Columna153]]),Estudiantes3[[#This Row],[Columna155]],Estudiantes3[[#This Row],[Columna153]])</f>
        <v>0</v>
      </c>
      <c r="FD26" s="149"/>
      <c r="FE26" s="145"/>
      <c r="FF26" s="145"/>
      <c r="FG26" s="145"/>
      <c r="FH26" s="145"/>
      <c r="FI26" s="145"/>
      <c r="FJ26" s="149"/>
      <c r="FK26" s="142">
        <f>IF(ISBLANK(Estudiantes3[[#This Row],[Columna161]]),Estudiantes3[[#This Row],[Columna163]],Estudiantes3[[#This Row],[Columna161]])</f>
        <v>0</v>
      </c>
      <c r="FL26" s="149"/>
      <c r="FM26" s="150">
        <f t="shared" si="1"/>
        <v>43</v>
      </c>
      <c r="FN26" s="151"/>
    </row>
    <row r="27" spans="1:170" ht="15.6" x14ac:dyDescent="0.3">
      <c r="A27" s="135" t="s">
        <v>304</v>
      </c>
      <c r="B27" s="135" t="s">
        <v>295</v>
      </c>
      <c r="C27" s="135" t="s">
        <v>305</v>
      </c>
      <c r="D27" s="152">
        <v>120280412</v>
      </c>
      <c r="E27" s="136">
        <f>SUM(Estudiantes3[[#This Row],[1]],Estudiantes3[[#This Row],[Columna12]],Estudiantes3[[#This Row],[Columna20]],Estudiantes3[[#This Row],[Columna28]],Estudiantes3[[#This Row],[Columna36]],Estudiantes3[[#This Row],[Columna44]],Estudiantes3[[#This Row],[Columna52]],Estudiantes3[[#This Row],[Columna60]],Estudiantes3[[#This Row],[Columna68]],Estudiantes3[[#This Row],[Columna76]],Estudiantes3[[#This Row],[Columna84]],Estudiantes3[[#This Row],[Columna92]],Estudiantes3[[#This Row],[Columna100]],Estudiantes3[[#This Row],[Columna108]],Estudiantes3[[#This Row],[Columna116]],Estudiantes3[[#This Row],[Columna124]],Estudiantes3[[#This Row],[Columna132]],Estudiantes3[[#This Row],[Columna140]],Estudiantes3[[#This Row],[Columna148]],Estudiantes3[[#This Row],[Columna156]]) -Estudiantes3[[#This Row],[0]]</f>
        <v>2</v>
      </c>
      <c r="F27" s="136">
        <f>SUM(Estudiantes3[[#This Row],[2]],Estudiantes3[[#This Row],[Columna13]],Estudiantes3[[#This Row],[Columna21]],Estudiantes3[[#This Row],[Columna29]],Estudiantes3[[#This Row],[Columna37]],Estudiantes3[[#This Row],[Columna45]],Estudiantes3[[#This Row],[Columna53]],Estudiantes3[[#This Row],[Columna61]],Estudiantes3[[#This Row],[Columna69]],Estudiantes3[[#This Row],[Columna77]],Estudiantes3[[#This Row],[Columna85]],Estudiantes3[[#This Row],[Columna93]],Estudiantes3[[#This Row],[Columna101]],Estudiantes3[[#This Row],[Columna109]],Estudiantes3[[#This Row],[Columna117]],Estudiantes3[[#This Row],[Columna125]],Estudiantes3[[#This Row],[Columna133]],Estudiantes3[[#This Row],[Columna141]],Estudiantes3[[#This Row],[Columna149]],Estudiantes3[[#This Row],[Columna157]],)</f>
        <v>0</v>
      </c>
      <c r="G27" s="136">
        <f t="shared" si="0"/>
        <v>2</v>
      </c>
      <c r="H27" s="137">
        <f>SUM(Estudiantes3[[#This Row],[Columna4]],Estudiantes3[[#This Row],[Columna15]],Estudiantes3[[#This Row],[Columna23]],Estudiantes3[[#This Row],[Columna31]],Estudiantes3[[#This Row],[Columna39]],Estudiantes3[[#This Row],[Columna47]],Estudiantes3[[#This Row],[Columna55]],Estudiantes3[[#This Row],[Columna63]],Estudiantes3[[#This Row],[Columna71]],Estudiantes3[[#This Row],[Columna79]],Estudiantes3[[#This Row],[Columna87]],Estudiantes3[[#This Row],[Columna95]],Estudiantes3[[#This Row],[Columna103]],Estudiantes3[[#This Row],[Columna111]],Estudiantes3[[#This Row],[Columna119]],Estudiantes3[[#This Row],[Columna127]],Estudiantes3[[#This Row],[Columna135]],Estudiantes3[[#This Row],[Columna143]],Estudiantes3[[#This Row],[Columna151]],Estudiantes3[[#This Row],[Columna159]],)</f>
        <v>12</v>
      </c>
      <c r="I27" s="138"/>
      <c r="J27" s="139"/>
      <c r="K27" s="138"/>
      <c r="L27" s="139"/>
      <c r="M27" s="140"/>
      <c r="N27" s="141">
        <v>3</v>
      </c>
      <c r="O27" s="142">
        <f>IF(ISBLANK(Estudiantes3[[#This Row],[Columna10]]),Estudiantes3[[#This Row],[AJ]],Estudiantes3[[#This Row],[Columna10]])</f>
        <v>3</v>
      </c>
      <c r="P27" s="143"/>
      <c r="Q27" s="144"/>
      <c r="R27" s="145"/>
      <c r="S27" s="145"/>
      <c r="T27" s="145"/>
      <c r="U27" s="145"/>
      <c r="V27" s="146">
        <v>3</v>
      </c>
      <c r="W27" s="147">
        <f>IF(ISBLANK(Estudiantes3[[#This Row],[Columna17]]),Estudiantes3[[#This Row],[Columna19]],Estudiantes3[[#This Row],[Columna17]])</f>
        <v>3</v>
      </c>
      <c r="X27" s="148"/>
      <c r="Y27" s="145">
        <v>3</v>
      </c>
      <c r="Z27" s="145"/>
      <c r="AA27" s="145"/>
      <c r="AB27" s="145">
        <v>3</v>
      </c>
      <c r="AC27" s="145"/>
      <c r="AD27" s="149"/>
      <c r="AE27" s="142">
        <f>IF(ISBLANK(Estudiantes3[[#This Row],[Columna25]]),Estudiantes3[[#This Row],[Columna27]],Estudiantes3[[#This Row],[Columna25]])</f>
        <v>0</v>
      </c>
      <c r="AF27" s="149"/>
      <c r="AG27" s="145"/>
      <c r="AH27" s="145"/>
      <c r="AI27" s="145"/>
      <c r="AJ27" s="145"/>
      <c r="AK27" s="145"/>
      <c r="AL27" s="149">
        <v>3</v>
      </c>
      <c r="AM27" s="142">
        <f>IF(ISBLANK(Estudiantes3[[#This Row],[Columna33]]),Estudiantes3[[#This Row],[Columna35]],Estudiantes3[[#This Row],[Columna33]])</f>
        <v>3</v>
      </c>
      <c r="AN27" s="149"/>
      <c r="AO27" s="145"/>
      <c r="AP27" s="145"/>
      <c r="AQ27" s="145"/>
      <c r="AR27" s="145"/>
      <c r="AS27" s="145"/>
      <c r="AT27" s="149">
        <v>3</v>
      </c>
      <c r="AU27" s="142">
        <f>IF(ISBLANK(Estudiantes3[[#This Row],[Columna41]]),Estudiantes3[[#This Row],[Columna43]],Estudiantes3[[#This Row],[Columna41]])</f>
        <v>3</v>
      </c>
      <c r="AV27" s="149"/>
      <c r="AW27" s="145"/>
      <c r="AX27" s="145"/>
      <c r="AY27" s="145">
        <v>1</v>
      </c>
      <c r="AZ27" s="145"/>
      <c r="BA27" s="145"/>
      <c r="BB27" s="149">
        <v>3</v>
      </c>
      <c r="BC27" s="142">
        <f>IF(ISBLANK(Estudiantes3[[#This Row],[Columna49]]),Estudiantes3[[#This Row],[Columna51]],Estudiantes3[[#This Row],[Columna49]])</f>
        <v>3</v>
      </c>
      <c r="BD27" s="149"/>
      <c r="BE27" s="145">
        <v>1</v>
      </c>
      <c r="BF27" s="145"/>
      <c r="BG27" s="145"/>
      <c r="BH27" s="145"/>
      <c r="BI27" s="145"/>
      <c r="BJ27" s="149">
        <v>3</v>
      </c>
      <c r="BK27" s="142">
        <f>IF(ISBLANK(Estudiantes3[[#This Row],[Columna57]]),Estudiantes3[[#This Row],[Columna59]],Estudiantes3[[#This Row],[Columna57]])</f>
        <v>3</v>
      </c>
      <c r="BL27" s="149"/>
      <c r="BM27" s="145"/>
      <c r="BN27" s="145"/>
      <c r="BO27" s="145">
        <v>1</v>
      </c>
      <c r="BP27" s="145"/>
      <c r="BQ27" s="145"/>
      <c r="BR27" s="149">
        <v>3</v>
      </c>
      <c r="BS27" s="142">
        <f>IF(ISBLANK(Estudiantes3[[#This Row],[Columna65]]),Estudiantes3[[#This Row],[Columna67]],Estudiantes3[[#This Row],[Columna65]])</f>
        <v>3</v>
      </c>
      <c r="BT27" s="149"/>
      <c r="BU27" s="145">
        <v>3</v>
      </c>
      <c r="BV27" s="145"/>
      <c r="BW27" s="145"/>
      <c r="BX27" s="145">
        <v>3</v>
      </c>
      <c r="BY27" s="145"/>
      <c r="BZ27" s="149"/>
      <c r="CA27" s="142">
        <v>3</v>
      </c>
      <c r="CB27" s="149"/>
      <c r="CC27" s="145">
        <v>3</v>
      </c>
      <c r="CD27" s="145"/>
      <c r="CE27" s="145"/>
      <c r="CF27" s="145">
        <v>3</v>
      </c>
      <c r="CG27" s="145"/>
      <c r="CH27" s="149">
        <v>3</v>
      </c>
      <c r="CI27" s="142">
        <f>IF(ISBLANK(Estudiantes3[[#This Row],[Columna81]]),Estudiantes3[[#This Row],[Columna83]],Estudiantes3[[#This Row],[Columna81]])</f>
        <v>3</v>
      </c>
      <c r="CJ27" s="149"/>
      <c r="CK27" s="145"/>
      <c r="CL27" s="145"/>
      <c r="CM27" s="145"/>
      <c r="CN27" s="145"/>
      <c r="CO27" s="145"/>
      <c r="CP27" s="149">
        <v>3</v>
      </c>
      <c r="CQ27" s="142">
        <f>IF(ISBLANK(Estudiantes3[[#This Row],[Columna89]]),Estudiantes3[[#This Row],[Columna91]],Estudiantes3[[#This Row],[Columna89]])</f>
        <v>3</v>
      </c>
      <c r="CR27" s="149"/>
      <c r="CS27" s="145"/>
      <c r="CT27" s="145"/>
      <c r="CU27" s="145"/>
      <c r="CV27" s="145"/>
      <c r="CW27" s="145"/>
      <c r="CX27" s="149">
        <v>3</v>
      </c>
      <c r="CY27" s="142">
        <f>IF(ISBLANK(Estudiantes3[[#This Row],[Columna97]]),Estudiantes3[[#This Row],[Columna99]],Estudiantes3[[#This Row],[Columna97]])</f>
        <v>3</v>
      </c>
      <c r="CZ27" s="149"/>
      <c r="DA27" s="145">
        <v>3</v>
      </c>
      <c r="DB27" s="145"/>
      <c r="DC27" s="145"/>
      <c r="DD27" s="145">
        <v>3</v>
      </c>
      <c r="DE27" s="145"/>
      <c r="DF27" s="149"/>
      <c r="DG27" s="142">
        <f>IF(ISBLANK(Estudiantes3[[#This Row],[Columna105]]),Estudiantes3[[#This Row],[Columna107]],Estudiantes3[[#This Row],[Columna105]])</f>
        <v>0</v>
      </c>
      <c r="DH27" s="149"/>
      <c r="DI27" s="145">
        <v>1</v>
      </c>
      <c r="DJ27" s="145"/>
      <c r="DK27" s="145"/>
      <c r="DL27" s="145"/>
      <c r="DM27" s="145"/>
      <c r="DN27" s="149">
        <v>3</v>
      </c>
      <c r="DO27" s="142">
        <f>IF(ISBLANK(Estudiantes3[[#This Row],[Columna113]]),Estudiantes3[[#This Row],[Columna115]],Estudiantes3[[#This Row],[Columna113]])</f>
        <v>3</v>
      </c>
      <c r="DP27" s="149"/>
      <c r="DQ27" s="145"/>
      <c r="DR27" s="145"/>
      <c r="DS27" s="145"/>
      <c r="DT27" s="145"/>
      <c r="DU27" s="145"/>
      <c r="DV27" s="149">
        <v>3</v>
      </c>
      <c r="DW27" s="142">
        <f>IF(ISBLANK(Estudiantes3[[#This Row],[Columna121]]),Estudiantes3[[#This Row],[Columna123]],Estudiantes3[[#This Row],[Columna121]])</f>
        <v>3</v>
      </c>
      <c r="DX27" s="149"/>
      <c r="DY27" s="145"/>
      <c r="DZ27" s="145"/>
      <c r="EA27" s="145"/>
      <c r="EB27" s="145"/>
      <c r="EC27" s="145"/>
      <c r="ED27" s="149"/>
      <c r="EE27" s="142">
        <f>IF(ISBLANK(Estudiantes3[[#This Row],[Columna129]]),Estudiantes3[[#This Row],[Columna131]],Estudiantes3[[#This Row],[Columna129]])</f>
        <v>0</v>
      </c>
      <c r="EF27" s="149"/>
      <c r="EG27" s="145"/>
      <c r="EH27" s="145"/>
      <c r="EI27" s="145"/>
      <c r="EJ27" s="145"/>
      <c r="EK27" s="145"/>
      <c r="EL27" s="149"/>
      <c r="EM27" s="142">
        <f>IF(ISBLANK(Estudiantes3[[#This Row],[Columna137]]),Estudiantes3[[#This Row],[Columna139]],Estudiantes3[[#This Row],[Columna137]])</f>
        <v>0</v>
      </c>
      <c r="EN27" s="149"/>
      <c r="EO27" s="145"/>
      <c r="EP27" s="145"/>
      <c r="EQ27" s="145"/>
      <c r="ER27" s="145"/>
      <c r="ES27" s="145"/>
      <c r="ET27" s="149"/>
      <c r="EU27" s="142">
        <f>IF(ISBLANK(Estudiantes3[[#This Row],[Columna145]]),Estudiantes3[[#This Row],[Columna147]],Estudiantes3[[#This Row],[Columna145]])</f>
        <v>0</v>
      </c>
      <c r="EV27" s="149"/>
      <c r="EW27" s="145"/>
      <c r="EX27" s="145"/>
      <c r="EY27" s="145"/>
      <c r="EZ27" s="145"/>
      <c r="FA27" s="145"/>
      <c r="FB27" s="149"/>
      <c r="FC27" s="142">
        <f>IF(ISBLANK(Estudiantes3[[#This Row],[Columna153]]),Estudiantes3[[#This Row],[Columna155]],Estudiantes3[[#This Row],[Columna153]])</f>
        <v>0</v>
      </c>
      <c r="FD27" s="149"/>
      <c r="FE27" s="145"/>
      <c r="FF27" s="145"/>
      <c r="FG27" s="145"/>
      <c r="FH27" s="145"/>
      <c r="FI27" s="145"/>
      <c r="FJ27" s="149"/>
      <c r="FK27" s="142">
        <f>IF(ISBLANK(Estudiantes3[[#This Row],[Columna161]]),Estudiantes3[[#This Row],[Columna163]],Estudiantes3[[#This Row],[Columna161]])</f>
        <v>0</v>
      </c>
      <c r="FL27" s="149"/>
      <c r="FM27" s="150">
        <f t="shared" si="1"/>
        <v>37</v>
      </c>
      <c r="FN27" s="151"/>
    </row>
    <row r="28" spans="1:170" x14ac:dyDescent="0.3">
      <c r="Q28" s="34"/>
    </row>
    <row r="32" spans="1:170" x14ac:dyDescent="0.3">
      <c r="Y32" s="34"/>
    </row>
  </sheetData>
  <mergeCells count="146">
    <mergeCell ref="S6:X6"/>
    <mergeCell ref="Q8:U8"/>
    <mergeCell ref="V8:X8"/>
    <mergeCell ref="V9:V11"/>
    <mergeCell ref="W9:W11"/>
    <mergeCell ref="X9:X11"/>
    <mergeCell ref="Q6:R6"/>
    <mergeCell ref="E1:J1"/>
    <mergeCell ref="K1:N1"/>
    <mergeCell ref="N9:N11"/>
    <mergeCell ref="O9:O11"/>
    <mergeCell ref="P9:P11"/>
    <mergeCell ref="I6:J6"/>
    <mergeCell ref="K6:P6"/>
    <mergeCell ref="N8:P8"/>
    <mergeCell ref="E8:E11"/>
    <mergeCell ref="F8:F11"/>
    <mergeCell ref="G8:G11"/>
    <mergeCell ref="H8:H11"/>
    <mergeCell ref="I8:M8"/>
    <mergeCell ref="AG6:AH6"/>
    <mergeCell ref="AI6:AN6"/>
    <mergeCell ref="AG8:AK8"/>
    <mergeCell ref="AL8:AN8"/>
    <mergeCell ref="AL9:AL11"/>
    <mergeCell ref="AM9:AM11"/>
    <mergeCell ref="AN9:AN11"/>
    <mergeCell ref="Y6:Z6"/>
    <mergeCell ref="AA6:AF6"/>
    <mergeCell ref="Y8:AC8"/>
    <mergeCell ref="AD8:AF8"/>
    <mergeCell ref="AD9:AD11"/>
    <mergeCell ref="AE9:AE11"/>
    <mergeCell ref="AF9:AF11"/>
    <mergeCell ref="AW6:AX6"/>
    <mergeCell ref="AY6:BD6"/>
    <mergeCell ref="AW8:BA8"/>
    <mergeCell ref="BB8:BD8"/>
    <mergeCell ref="BB9:BB11"/>
    <mergeCell ref="BC9:BC11"/>
    <mergeCell ref="BD9:BD11"/>
    <mergeCell ref="AO6:AP6"/>
    <mergeCell ref="AQ6:AV6"/>
    <mergeCell ref="AO8:AS8"/>
    <mergeCell ref="AT8:AV8"/>
    <mergeCell ref="AT9:AT11"/>
    <mergeCell ref="AU9:AU11"/>
    <mergeCell ref="AV9:AV11"/>
    <mergeCell ref="BM6:BN6"/>
    <mergeCell ref="BO6:BT6"/>
    <mergeCell ref="BM8:BQ8"/>
    <mergeCell ref="BR8:BT8"/>
    <mergeCell ref="BR9:BR11"/>
    <mergeCell ref="BS9:BS11"/>
    <mergeCell ref="BT9:BT11"/>
    <mergeCell ref="BE6:BF6"/>
    <mergeCell ref="BG6:BL6"/>
    <mergeCell ref="BE8:BI8"/>
    <mergeCell ref="BJ8:BL8"/>
    <mergeCell ref="BJ9:BJ11"/>
    <mergeCell ref="BK9:BK11"/>
    <mergeCell ref="BL9:BL11"/>
    <mergeCell ref="CC6:CD6"/>
    <mergeCell ref="CE6:CJ6"/>
    <mergeCell ref="CC8:CG8"/>
    <mergeCell ref="CH8:CJ8"/>
    <mergeCell ref="CH9:CH11"/>
    <mergeCell ref="CI9:CI11"/>
    <mergeCell ref="CJ9:CJ11"/>
    <mergeCell ref="BU6:BV6"/>
    <mergeCell ref="BW6:CB6"/>
    <mergeCell ref="BU8:BY8"/>
    <mergeCell ref="BZ8:CB8"/>
    <mergeCell ref="BZ9:BZ11"/>
    <mergeCell ref="CA9:CA11"/>
    <mergeCell ref="CB9:CB11"/>
    <mergeCell ref="CS6:CT6"/>
    <mergeCell ref="CU6:CZ6"/>
    <mergeCell ref="CS8:CW8"/>
    <mergeCell ref="CX8:CZ8"/>
    <mergeCell ref="CX9:CX11"/>
    <mergeCell ref="CY9:CY11"/>
    <mergeCell ref="CZ9:CZ11"/>
    <mergeCell ref="CK6:CL6"/>
    <mergeCell ref="CM6:CR6"/>
    <mergeCell ref="CK8:CO8"/>
    <mergeCell ref="CP8:CR8"/>
    <mergeCell ref="CP9:CP11"/>
    <mergeCell ref="CQ9:CQ11"/>
    <mergeCell ref="CR9:CR11"/>
    <mergeCell ref="DI6:DJ6"/>
    <mergeCell ref="DK6:DP6"/>
    <mergeCell ref="DI8:DM8"/>
    <mergeCell ref="DN8:DP8"/>
    <mergeCell ref="DN9:DN11"/>
    <mergeCell ref="DO9:DO11"/>
    <mergeCell ref="DP9:DP11"/>
    <mergeCell ref="DA6:DB6"/>
    <mergeCell ref="DC6:DH6"/>
    <mergeCell ref="DA8:DE8"/>
    <mergeCell ref="DF8:DH8"/>
    <mergeCell ref="DF9:DF11"/>
    <mergeCell ref="DG9:DG11"/>
    <mergeCell ref="DH9:DH11"/>
    <mergeCell ref="DY6:DZ6"/>
    <mergeCell ref="EA6:EF6"/>
    <mergeCell ref="DY8:EC8"/>
    <mergeCell ref="ED8:EF8"/>
    <mergeCell ref="ED9:ED11"/>
    <mergeCell ref="EE9:EE11"/>
    <mergeCell ref="EF9:EF11"/>
    <mergeCell ref="DQ6:DR6"/>
    <mergeCell ref="DS6:DX6"/>
    <mergeCell ref="DQ8:DU8"/>
    <mergeCell ref="DV8:DX8"/>
    <mergeCell ref="DV9:DV11"/>
    <mergeCell ref="DW9:DW11"/>
    <mergeCell ref="DX9:DX11"/>
    <mergeCell ref="FE6:FF6"/>
    <mergeCell ref="FG6:FL6"/>
    <mergeCell ref="FE8:FI8"/>
    <mergeCell ref="FJ8:FL8"/>
    <mergeCell ref="FJ9:FJ11"/>
    <mergeCell ref="FK9:FK11"/>
    <mergeCell ref="FL9:FL11"/>
    <mergeCell ref="EW6:EX6"/>
    <mergeCell ref="EY6:FD6"/>
    <mergeCell ref="EW8:FA8"/>
    <mergeCell ref="FB8:FD8"/>
    <mergeCell ref="FB9:FB11"/>
    <mergeCell ref="FC9:FC11"/>
    <mergeCell ref="FD9:FD11"/>
    <mergeCell ref="EO6:EP6"/>
    <mergeCell ref="EQ6:EV6"/>
    <mergeCell ref="EO8:ES8"/>
    <mergeCell ref="ET8:EV8"/>
    <mergeCell ref="ET9:ET11"/>
    <mergeCell ref="EU9:EU11"/>
    <mergeCell ref="EV9:EV11"/>
    <mergeCell ref="EG6:EH6"/>
    <mergeCell ref="EI6:EN6"/>
    <mergeCell ref="EG8:EK8"/>
    <mergeCell ref="EL8:EN8"/>
    <mergeCell ref="EL9:EL11"/>
    <mergeCell ref="EM9:EM11"/>
    <mergeCell ref="EN9:EN11"/>
  </mergeCells>
  <phoneticPr fontId="16" type="noConversion"/>
  <conditionalFormatting sqref="A1317">
    <cfRule type="cellIs" dxfId="392" priority="25" operator="greaterThan">
      <formula>0</formula>
    </cfRule>
  </conditionalFormatting>
  <conditionalFormatting sqref="I13:I27 Q13:Q27 Y13:Y27 AG13:AG27 AO13:AO27 AW13:AW27 BE13:BE27 BM13:BM27 BU13:BU27 CC13:CC27 CK13:CK27 CS13:CS27 DA13:DA27 DI13:DI27 DQ13:DQ27 DY13:DY27 EG13:EG27 EO13:EO27 EW13:EW27 FE13:FE27">
    <cfRule type="cellIs" dxfId="391" priority="4" operator="greaterThan">
      <formula>0</formula>
    </cfRule>
  </conditionalFormatting>
  <conditionalFormatting sqref="R13:R27 J13:J27 Z13:Z27 AH13:AH27 AP13:AP27 AX13:AX27 BF13:BF27 BN13:BN27 BV13:BV27 CD13:CD27 CL13:CL27 CT13:CT27 DB13:DB27 DJ13:DJ27 DR13:DR27 DZ13:DZ27 EH13:EH27 EP13:EP27 EX13:EX27 FF13:FF27">
    <cfRule type="cellIs" dxfId="390" priority="1" operator="greaterThan">
      <formula>0</formula>
    </cfRule>
  </conditionalFormatting>
  <conditionalFormatting sqref="L13:L27 T13:T27 AB13:AB27 AJ13:AJ27 AR13:AR27 AZ13:AZ27 BH13:BH27 BP13:BP27 BX13:BX27 CF13:CF27 CN13:CN27 CV13:CV27 DD13:DD27 DL13:DL27 DT13:DT27 EB13:EB27 EJ13:EJ27 ER13:ER27 EZ13:EZ27 FH13:FH27">
    <cfRule type="cellIs" dxfId="389" priority="3" operator="greaterThan">
      <formula>0</formula>
    </cfRule>
  </conditionalFormatting>
  <conditionalFormatting sqref="K13:K27 S13:S27 AA13:AA27 AI13:AI27 AQ13:AQ27 AY13:AY27 BG13:BG27 BO13:BO27 BW13:BW27 CE13:CE27 CM13:CM27 CU13:CU27 DC13:DC27 DK13:DK27 DS13:DS27 EA13:EA27 EI13:EI27 EQ13:EQ27 EY13:EY27 FG13:FG27">
    <cfRule type="cellIs" dxfId="388" priority="2" operator="greaterThan">
      <formula>0</formula>
    </cfRule>
  </conditionalFormatting>
  <dataValidations count="38">
    <dataValidation type="list" allowBlank="1" showInputMessage="1" showErrorMessage="1" sqref="I6:J6 Q6:R6 Y6:Z6 AG6:AH6 AO6:AP6 AW6:AX6 BE6:BF6 BM6:BN6 BU6:BV6 CC6:CD6 CK6:CL6 CS6:CT6 DA6:DB6 DI6:DJ6 DQ6:DR6 DY6:DZ6 EG6:EH6 EO6:EP6 EW6:EX6 FE6:FF6" xr:uid="{2FD4CADC-700D-44E8-A5AB-6CA108448A32}">
      <formula1>"1,2,3,4,5,6"</formula1>
    </dataValidation>
    <dataValidation type="date" allowBlank="1" showInputMessage="1" showErrorMessage="1" sqref="K6 S6 AA6 AI6 AQ6 AY6 BG6 BO6 BW6 CE6 CM6 CU6 DC6 DK6 DS6 EA6 EI6 EQ6 EY6 FG6" xr:uid="{C8EC30B2-73A1-4906-B587-D1E10916AE2A}">
      <formula1>1</formula1>
      <formula2>402133</formula2>
    </dataValidation>
    <dataValidation type="whole" allowBlank="1" showInputMessage="1" showErrorMessage="1" errorTitle="Cotidiano" error="El cotidiano se evalua del 0 al 3. " sqref="N12 FJ13:FL27 FB13:FD27 ET13:EV27 EL13:EN27 ED13:EF27 DV13:DX27 DN13:DP27 DF13:DH27 CX13:CZ27 CP13:CR27 CH13:CJ27 BZ13:CB27 BR13:BT27 BJ13:BL27 BB13:BD27 AT13:AV27 AL13:AN27 N13:P27 V13:X27 AD13:AF27" xr:uid="{2D785B7C-6C89-480B-9740-CEFCB302D373}">
      <formula1>0</formula1>
      <formula2>3</formula2>
    </dataValidation>
    <dataValidation type="whole" operator="lessThanOrEqual" showInputMessage="1" showErrorMessage="1" errorTitle="Error" error="El dato ingresado no puede ser mayor a la cantidad total de lecciones impartidas esre día." promptTitle="Bien" sqref="Q13:T27" xr:uid="{70DB7CC8-E87C-4C8B-BB2C-9FE45AE9EB2E}">
      <formula1>$Q$6</formula1>
    </dataValidation>
    <dataValidation type="whole" operator="lessThanOrEqual" showInputMessage="1" showErrorMessage="1" errorTitle="Error" error="El dato ingresado no puede ser mayor a la cantidad total de lecciones impartidas esre día." sqref="I13:L27" xr:uid="{32479EFF-A1C3-437F-AD24-1D5FA1C2D002}">
      <formula1>$I$6</formula1>
    </dataValidation>
    <dataValidation type="whole" operator="lessThanOrEqual" allowBlank="1" showInputMessage="1" showErrorMessage="1" sqref="AC13:AC27" xr:uid="{B8B9A704-DB11-4DFB-9795-DF871F28044D}">
      <formula1>$Y$6</formula1>
    </dataValidation>
    <dataValidation type="whole" operator="lessThanOrEqual" allowBlank="1" showInputMessage="1" showErrorMessage="1" sqref="AK13:AK27" xr:uid="{58D52087-E598-495E-94BB-0DC20E2F44F5}">
      <formula1>$AG$6</formula1>
    </dataValidation>
    <dataValidation type="whole" operator="lessThanOrEqual" allowBlank="1" showInputMessage="1" showErrorMessage="1" sqref="AS13:AS27" xr:uid="{1F558C6E-E4B4-457E-A7F8-0706FA828F3E}">
      <formula1>$AO$6</formula1>
    </dataValidation>
    <dataValidation type="whole" operator="lessThanOrEqual" allowBlank="1" showInputMessage="1" showErrorMessage="1" sqref="BA13:BA27" xr:uid="{5A2D3EE7-856E-4C05-9F3F-03F1ED183560}">
      <formula1>$AW$6</formula1>
    </dataValidation>
    <dataValidation type="whole" operator="lessThanOrEqual" allowBlank="1" showInputMessage="1" showErrorMessage="1" sqref="BI13:BI27" xr:uid="{B5DE75B8-159E-4158-95B7-7D488384C597}">
      <formula1>$BE$6</formula1>
    </dataValidation>
    <dataValidation type="whole" operator="lessThanOrEqual" allowBlank="1" showInputMessage="1" showErrorMessage="1" sqref="BQ13:BQ27" xr:uid="{BCBCA9C0-0F66-4E15-A216-93EA03314AA8}">
      <formula1>$BM$6</formula1>
    </dataValidation>
    <dataValidation type="whole" operator="lessThanOrEqual" allowBlank="1" showInputMessage="1" showErrorMessage="1" sqref="BY13:BY27" xr:uid="{8EA333FC-EA7B-4352-8320-4FCE861D20F9}">
      <formula1>$BU$6</formula1>
    </dataValidation>
    <dataValidation type="whole" operator="lessThanOrEqual" allowBlank="1" showInputMessage="1" showErrorMessage="1" sqref="CG13:CG27" xr:uid="{A1AF1561-3DA4-497A-8011-9E61DBE22369}">
      <formula1>$CC$6</formula1>
    </dataValidation>
    <dataValidation type="whole" operator="lessThanOrEqual" allowBlank="1" showInputMessage="1" showErrorMessage="1" sqref="CO13:CO27" xr:uid="{AB620E87-CBD4-4349-A2FC-D42205C452E5}">
      <formula1>$CK$6</formula1>
    </dataValidation>
    <dataValidation type="whole" operator="lessThanOrEqual" allowBlank="1" showInputMessage="1" showErrorMessage="1" sqref="CW13:CW27" xr:uid="{D5ED01CA-5583-4673-BFD6-3FA94FFD6229}">
      <formula1>$CS$6</formula1>
    </dataValidation>
    <dataValidation type="whole" operator="lessThanOrEqual" allowBlank="1" showInputMessage="1" showErrorMessage="1" sqref="DE13:DE27" xr:uid="{7E40DFAD-9595-48C2-980B-A30A6BF7463B}">
      <formula1>$DA$6</formula1>
    </dataValidation>
    <dataValidation type="whole" operator="lessThanOrEqual" showInputMessage="1" showErrorMessage="1" sqref="DM13:DM27" xr:uid="{ACE70A71-9B7F-453E-AF48-10CEAF87BA1C}">
      <formula1>$DI$6</formula1>
    </dataValidation>
    <dataValidation type="whole" operator="lessThanOrEqual" showInputMessage="1" showErrorMessage="1" sqref="DU13:DU27" xr:uid="{EA0C36E2-6C51-4A91-8FE0-95BCCB820EB2}">
      <formula1>$DQ$6</formula1>
    </dataValidation>
    <dataValidation type="whole" operator="lessThanOrEqual" showInputMessage="1" showErrorMessage="1" errorTitle="Error." error="El dato ingresado no puede ser mayor a la cantidad total de lecciones impartidas esre día." sqref="Y13:AB27" xr:uid="{EF46CD5A-1578-4651-9080-535A024B6102}">
      <formula1>$Y$6</formula1>
    </dataValidation>
    <dataValidation type="whole" operator="lessThanOrEqual" showInputMessage="1" showErrorMessage="1" errorTitle="Error." error="El dato ingresado no puede ser mayor a la cantidad total de lecciones impartidas esre día." sqref="AG13:AJ27" xr:uid="{AAAD6198-52CB-41B6-AB04-5F8CC67D7A37}">
      <formula1>$AG$6</formula1>
    </dataValidation>
    <dataValidation type="whole" operator="lessThanOrEqual" showInputMessage="1" showErrorMessage="1" errorTitle="Error." error="El dato ingresado no puede ser mayor a la cantidad total de lecciones impartidas esre día." sqref="AO13:AR27" xr:uid="{FF843374-A984-4414-9315-F184EFBA036A}">
      <formula1>$AO$6</formula1>
    </dataValidation>
    <dataValidation type="whole" operator="lessThanOrEqual" showInputMessage="1" showErrorMessage="1" errorTitle="Error." error="El dato ingresado no puede ser mayor a la cantidad total de lecciones impartidas esre día." sqref="AW13:AZ27" xr:uid="{C6FC9236-805E-4529-92EA-D847316FAA97}">
      <formula1>$AW$6</formula1>
    </dataValidation>
    <dataValidation type="whole" operator="lessThanOrEqual" showInputMessage="1" showErrorMessage="1" errorTitle="Error." error="El dato ingresado no puede ser mayor a la cantidad total de lecciones impartidas esre día." sqref="BE13:BH27" xr:uid="{EB70E41A-6105-4BBC-B307-510E0B253ECD}">
      <formula1>$BE$6</formula1>
    </dataValidation>
    <dataValidation type="whole" operator="lessThanOrEqual" showInputMessage="1" showErrorMessage="1" errorTitle="Error." error="El dato ingresado no puede ser mayor a la cantidad total de lecciones impartidas esre día." sqref="BM13:BP27" xr:uid="{5E6CD7E6-DEDC-4B4B-8208-3FDA845A460F}">
      <formula1>$BM$6</formula1>
    </dataValidation>
    <dataValidation type="whole" operator="lessThanOrEqual" showInputMessage="1" showErrorMessage="1" errorTitle="Error." error="El dato ingresado no puede ser mayor a la cantidad total de lecciones impartidas esre día." sqref="BU13:BX27" xr:uid="{38ECEA98-5301-4898-9D54-CB0812C9D072}">
      <formula1>$BU$6</formula1>
    </dataValidation>
    <dataValidation type="whole" operator="lessThanOrEqual" showInputMessage="1" showErrorMessage="1" errorTitle="Error." error="El dato ingresado no puede ser mayor a la cantidad total de lecciones impartidas esre día." sqref="CC13:CF27" xr:uid="{00948464-61E3-4F51-8D57-DB3CE21C9F3F}">
      <formula1>$CC$6</formula1>
    </dataValidation>
    <dataValidation type="whole" operator="lessThanOrEqual" showInputMessage="1" showErrorMessage="1" errorTitle="Error." error="El dato ingresado no puede ser mayor a la cantidad total de lecciones impartidas esre día." sqref="CK13:CN27" xr:uid="{93E97D0E-D852-4E1B-B68A-9C73567867AC}">
      <formula1>$CK$6</formula1>
    </dataValidation>
    <dataValidation type="whole" operator="lessThanOrEqual" showInputMessage="1" showErrorMessage="1" errorTitle="Error." error="El dato ingresado no puede ser mayor a la cantidad total de lecciones impartidas esre día." sqref="CS13:CV27" xr:uid="{FACC99D6-B4B9-4EE5-B3E3-C7C853515238}">
      <formula1>$CS$6</formula1>
    </dataValidation>
    <dataValidation type="whole" operator="lessThanOrEqual" showInputMessage="1" showErrorMessage="1" errorTitle="Error." error="El dato ingresado no puede ser mayor a la cantidad total de lecciones impartidas esre día." sqref="DA13:DD27" xr:uid="{EA327CD8-9346-438E-B23E-57FE92536967}">
      <formula1>$DA$6</formula1>
    </dataValidation>
    <dataValidation type="whole" operator="lessThanOrEqual" showInputMessage="1" showErrorMessage="1" errorTitle="Error." error="El dato ingresado no puede ser mayor a la cantidad total de lecciones impartidas esre día." sqref="DY13:EB27" xr:uid="{19BF2AC5-6916-4A09-BD69-D45E0E5E0EC8}">
      <formula1>$DY$6</formula1>
    </dataValidation>
    <dataValidation type="whole" operator="lessThanOrEqual" showInputMessage="1" showErrorMessage="1" errorTitle="Error." error="El dato ingresado no puede ser mayor a la cantidad total de lecciones impartidas esre día." sqref="EG13:EJ27" xr:uid="{8120A0BB-7666-41A6-989C-323CCB18D14A}">
      <formula1>$EG$6</formula1>
    </dataValidation>
    <dataValidation type="whole" operator="lessThanOrEqual" showInputMessage="1" showErrorMessage="1" errorTitle="Error." error="El dato ingresado no puede ser mayor a la cantidad total de lecciones impartidas esre día._x000a_" sqref="EO13:ER27" xr:uid="{271F512A-59FC-4E2B-AFFD-D7382FFDD7AD}">
      <formula1>$EO$6</formula1>
    </dataValidation>
    <dataValidation type="whole" operator="lessThanOrEqual" showInputMessage="1" showErrorMessage="1" sqref="FA13:FA27" xr:uid="{63DEBD1A-68AB-455F-AD02-DFE07BD26A68}">
      <formula1>$EW$6</formula1>
    </dataValidation>
    <dataValidation type="whole" operator="lessThanOrEqual" showInputMessage="1" showErrorMessage="1" errorTitle="Error." error="El dato ingresado no puede ser mayor a la cantidad total de lecciones impartidas esre día." sqref="FF13:FH27" xr:uid="{C20FE9D4-318C-4695-80BC-042CB1204D21}">
      <formula1>$FE$6</formula1>
    </dataValidation>
    <dataValidation type="whole" operator="lessThanOrEqual" showInputMessage="1" showErrorMessage="1" errorTitle="Error " error="El dato ingresado no puede ser mayor a la cantidad total de lecciones impartidas esre día." sqref="FE13:FE27" xr:uid="{6F8829BF-CA4C-440F-90D8-C58F0724298E}">
      <formula1>$FE$6</formula1>
    </dataValidation>
    <dataValidation type="whole" operator="lessThanOrEqual" showInputMessage="1" showErrorMessage="1" errorTitle="Error" error="El dato ingresado no puede ser mayor a la cantidad total de lecciones impartidas esre día." sqref="EW13:EZ27" xr:uid="{BACC0C48-018A-4654-87F0-2086A4078974}">
      <formula1>$EW$6</formula1>
    </dataValidation>
    <dataValidation type="whole" operator="lessThanOrEqual" showInputMessage="1" showErrorMessage="1" errorTitle="Error." error="El dato ingresado no puede ser mayor a la cantidad total de lecciones impartidas esre día." sqref="DQ13:DT27" xr:uid="{0B4A8BAA-4A53-4FB6-8A11-75C3A137ADAF}">
      <formula1>$DQ$6</formula1>
    </dataValidation>
    <dataValidation type="whole" operator="lessThanOrEqual" showInputMessage="1" showErrorMessage="1" errorTitle="Error." error="El dato ingresado no puede ser mayor a la cantidad total de lecciones impartidas esre día." sqref="DI13:DL27" xr:uid="{377D0D43-8907-46A7-8F12-E8ED5EDDB3D3}">
      <formula1>$DI$6</formula1>
    </dataValidation>
  </dataValidations>
  <hyperlinks>
    <hyperlink ref="A1" location="Principal!A1" display="Volver a principal" xr:uid="{F20F9E55-745E-4D46-B815-FB3651278C3E}"/>
    <hyperlink ref="B1" location="Tareas!A1" display="Ir a Tareas" xr:uid="{0D90A221-4E57-4F0C-9A59-29CAB43BE8B4}"/>
    <hyperlink ref="C1" location="Evaluaciones!A1" display="Ir a Evaluaciones" xr:uid="{C2537DE0-B887-491E-BB7B-F32FD3DCA4C5}"/>
    <hyperlink ref="E1" location="Proyectos!A1" display="Ir a Proyectos" xr:uid="{7F3AD0F9-FA35-4D39-BCC9-5EEF51245472}"/>
    <hyperlink ref="D1" location="Portafolio!A1" display="Ir a Portafolio" xr:uid="{62947C3D-703B-4FF5-84E2-2314622F417B}"/>
    <hyperlink ref="K1" location="Indicadores!A1" display="Ir a Indicadores" xr:uid="{1704DC9C-DF9E-4DCE-A282-1BF02595B1B8}"/>
  </hyperlinks>
  <pageMargins left="0.75" right="0.75" top="1" bottom="1" header="0.5" footer="0.5"/>
  <pageSetup paperSize="9" orientation="portrait" r:id="rId1"/>
  <drawing r:id="rId2"/>
  <tableParts count="1">
    <tablePart r:id="rId3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>
    <tabColor theme="1"/>
  </sheetPr>
  <dimension ref="A1:J29"/>
  <sheetViews>
    <sheetView showGridLines="0" topLeftCell="B1" zoomScale="85" zoomScaleNormal="85" workbookViewId="0">
      <pane ySplit="11" topLeftCell="A12" activePane="bottomLeft" state="frozen"/>
      <selection activeCell="A3" sqref="A3:F11"/>
      <selection pane="bottomLeft" activeCell="J28" sqref="J28"/>
    </sheetView>
  </sheetViews>
  <sheetFormatPr baseColWidth="10" defaultColWidth="8.77734375" defaultRowHeight="14.4" x14ac:dyDescent="0.3"/>
  <cols>
    <col min="1" max="1" width="22.109375" customWidth="1"/>
    <col min="2" max="2" width="22.77734375" customWidth="1"/>
    <col min="3" max="3" width="20.77734375" customWidth="1"/>
    <col min="4" max="4" width="24.109375" customWidth="1"/>
    <col min="5" max="6" width="20.77734375" customWidth="1"/>
    <col min="7" max="10" width="20.77734375" style="50" customWidth="1"/>
    <col min="11" max="16384" width="8.77734375" style="50"/>
  </cols>
  <sheetData>
    <row r="1" spans="1:10" ht="16.2" thickBot="1" x14ac:dyDescent="0.35">
      <c r="A1" s="52" t="s">
        <v>240</v>
      </c>
      <c r="B1" s="54" t="s">
        <v>236</v>
      </c>
      <c r="C1" s="86" t="s">
        <v>239</v>
      </c>
      <c r="D1" s="55" t="s">
        <v>237</v>
      </c>
      <c r="E1" s="87" t="s">
        <v>238</v>
      </c>
      <c r="F1" s="244" t="s">
        <v>34</v>
      </c>
      <c r="G1" s="245"/>
      <c r="H1" s="56"/>
      <c r="I1" s="246" t="s">
        <v>37</v>
      </c>
      <c r="J1" s="247"/>
    </row>
    <row r="2" spans="1:10" ht="27.6" thickTop="1" thickBot="1" x14ac:dyDescent="0.35">
      <c r="A2" s="88"/>
      <c r="B2" s="50"/>
      <c r="C2" s="50"/>
      <c r="D2" s="50"/>
      <c r="E2" s="50"/>
      <c r="F2" s="115" t="s">
        <v>262</v>
      </c>
      <c r="G2" s="116">
        <v>5</v>
      </c>
      <c r="I2" s="115" t="s">
        <v>249</v>
      </c>
      <c r="J2" s="133">
        <v>7</v>
      </c>
    </row>
    <row r="3" spans="1:10" ht="27.6" thickTop="1" thickBot="1" x14ac:dyDescent="0.35">
      <c r="A3" s="50"/>
      <c r="B3" s="50"/>
      <c r="C3" s="50"/>
      <c r="D3" s="50"/>
      <c r="E3" s="50"/>
      <c r="F3" s="115" t="s">
        <v>263</v>
      </c>
      <c r="G3" s="118">
        <v>5</v>
      </c>
      <c r="I3" s="115" t="s">
        <v>251</v>
      </c>
      <c r="J3" s="134">
        <v>3</v>
      </c>
    </row>
    <row r="4" spans="1:10" ht="14.55" customHeight="1" thickTop="1" x14ac:dyDescent="0.3">
      <c r="A4" s="243" t="s">
        <v>229</v>
      </c>
      <c r="B4" s="243"/>
      <c r="C4" s="243"/>
      <c r="D4" s="243"/>
      <c r="E4" s="243"/>
      <c r="F4" s="243"/>
    </row>
    <row r="5" spans="1:10" ht="14.55" customHeight="1" x14ac:dyDescent="0.3">
      <c r="A5" s="243"/>
      <c r="B5" s="243"/>
      <c r="C5" s="243"/>
      <c r="D5" s="243"/>
      <c r="E5" s="243"/>
      <c r="F5" s="243"/>
    </row>
    <row r="6" spans="1:10" ht="14.55" customHeight="1" x14ac:dyDescent="0.3">
      <c r="A6" s="243"/>
      <c r="B6" s="243"/>
      <c r="C6" s="243"/>
      <c r="D6" s="243"/>
      <c r="E6" s="243"/>
      <c r="F6" s="243"/>
    </row>
    <row r="7" spans="1:10" ht="14.55" customHeight="1" x14ac:dyDescent="0.3">
      <c r="A7" s="243"/>
      <c r="B7" s="243"/>
      <c r="C7" s="243"/>
      <c r="D7" s="243"/>
      <c r="E7" s="243"/>
      <c r="F7" s="243"/>
    </row>
    <row r="8" spans="1:10" ht="14.55" customHeight="1" x14ac:dyDescent="0.3">
      <c r="A8" s="243"/>
      <c r="B8" s="243"/>
      <c r="C8" s="243"/>
      <c r="D8" s="243"/>
      <c r="E8" s="243"/>
      <c r="F8" s="243"/>
    </row>
    <row r="9" spans="1:10" ht="14.55" customHeight="1" x14ac:dyDescent="0.3">
      <c r="A9" s="84"/>
      <c r="B9" s="84"/>
      <c r="C9" s="84"/>
      <c r="D9" s="84"/>
      <c r="E9" s="85"/>
      <c r="F9" s="84"/>
    </row>
    <row r="10" spans="1:10" ht="15.6" x14ac:dyDescent="0.3">
      <c r="A10" s="50"/>
      <c r="B10" s="50"/>
      <c r="C10" s="50"/>
      <c r="D10" s="50"/>
      <c r="E10" s="85" t="str">
        <f>"Valor porcental por periodo: " &amp; Principal!G3 &amp; "%"</f>
        <v>Valor porcental por periodo: 10%</v>
      </c>
      <c r="F10" s="50"/>
      <c r="G10" s="119" t="s">
        <v>252</v>
      </c>
      <c r="H10" s="119" t="s">
        <v>264</v>
      </c>
    </row>
    <row r="12" spans="1:10" ht="15.6" x14ac:dyDescent="0.3">
      <c r="A12" s="89" t="s">
        <v>0</v>
      </c>
      <c r="B12" s="89" t="s">
        <v>1</v>
      </c>
      <c r="C12" s="89" t="s">
        <v>2</v>
      </c>
      <c r="D12" s="89" t="s">
        <v>3</v>
      </c>
      <c r="E12" s="131" t="s">
        <v>58</v>
      </c>
      <c r="F12" s="90" t="s">
        <v>258</v>
      </c>
      <c r="G12" s="90" t="s">
        <v>261</v>
      </c>
      <c r="H12" s="131" t="s">
        <v>59</v>
      </c>
      <c r="I12" s="89" t="s">
        <v>260</v>
      </c>
      <c r="J12" s="89" t="s">
        <v>259</v>
      </c>
    </row>
    <row r="13" spans="1:10" ht="15.6" x14ac:dyDescent="0.3">
      <c r="A13" s="91" t="s">
        <v>268</v>
      </c>
      <c r="B13" s="91" t="s">
        <v>269</v>
      </c>
      <c r="C13" s="91" t="s">
        <v>270</v>
      </c>
      <c r="D13" s="124">
        <v>209070147</v>
      </c>
      <c r="E13" s="179"/>
      <c r="F13" s="180">
        <v>4.54</v>
      </c>
      <c r="G13" s="153">
        <v>5</v>
      </c>
      <c r="H13" s="132"/>
      <c r="I13" s="153"/>
      <c r="J13" s="153">
        <v>3</v>
      </c>
    </row>
    <row r="14" spans="1:10" ht="15.6" x14ac:dyDescent="0.3">
      <c r="A14" s="91" t="s">
        <v>268</v>
      </c>
      <c r="B14" s="91" t="s">
        <v>267</v>
      </c>
      <c r="C14" s="91" t="s">
        <v>271</v>
      </c>
      <c r="D14" s="124">
        <v>209040532</v>
      </c>
      <c r="E14" s="179"/>
      <c r="F14" s="180">
        <v>4.37</v>
      </c>
      <c r="G14" s="153">
        <v>4.7</v>
      </c>
      <c r="H14" s="132"/>
      <c r="I14" s="153"/>
      <c r="J14" s="153">
        <v>3</v>
      </c>
    </row>
    <row r="15" spans="1:10" ht="15.6" x14ac:dyDescent="0.3">
      <c r="A15" s="91" t="s">
        <v>272</v>
      </c>
      <c r="B15" s="91" t="s">
        <v>273</v>
      </c>
      <c r="C15" s="91" t="s">
        <v>274</v>
      </c>
      <c r="D15" s="124">
        <v>120100787</v>
      </c>
      <c r="E15" s="179"/>
      <c r="F15" s="180">
        <v>5</v>
      </c>
      <c r="G15" s="153">
        <v>5</v>
      </c>
      <c r="H15" s="132"/>
      <c r="I15" s="153"/>
      <c r="J15" s="153">
        <v>3</v>
      </c>
    </row>
    <row r="16" spans="1:10" ht="15.6" x14ac:dyDescent="0.3">
      <c r="A16" s="91" t="s">
        <v>275</v>
      </c>
      <c r="B16" s="91" t="s">
        <v>276</v>
      </c>
      <c r="C16" s="91" t="s">
        <v>277</v>
      </c>
      <c r="D16" s="124">
        <v>209010382</v>
      </c>
      <c r="E16" s="179"/>
      <c r="F16" s="180">
        <v>5</v>
      </c>
      <c r="G16" s="153">
        <v>5</v>
      </c>
      <c r="H16" s="132"/>
      <c r="I16" s="153"/>
      <c r="J16" s="153">
        <v>3</v>
      </c>
    </row>
    <row r="17" spans="1:10" ht="15.6" x14ac:dyDescent="0.3">
      <c r="A17" s="91" t="s">
        <v>275</v>
      </c>
      <c r="B17" s="91" t="s">
        <v>278</v>
      </c>
      <c r="C17" s="91" t="s">
        <v>279</v>
      </c>
      <c r="D17" s="124">
        <v>209050852</v>
      </c>
      <c r="E17" s="179"/>
      <c r="F17" s="180">
        <v>4.16</v>
      </c>
      <c r="G17" s="153">
        <v>4.7</v>
      </c>
      <c r="H17" s="132"/>
      <c r="I17" s="153"/>
      <c r="J17" s="153">
        <v>3</v>
      </c>
    </row>
    <row r="18" spans="1:10" ht="15.6" x14ac:dyDescent="0.3">
      <c r="A18" s="91" t="s">
        <v>280</v>
      </c>
      <c r="B18" s="91" t="s">
        <v>281</v>
      </c>
      <c r="C18" s="91" t="s">
        <v>282</v>
      </c>
      <c r="D18" s="124">
        <v>209050481</v>
      </c>
      <c r="E18" s="179"/>
      <c r="F18" s="180">
        <v>3.95</v>
      </c>
      <c r="G18" s="153">
        <v>4.7</v>
      </c>
      <c r="H18" s="132"/>
      <c r="I18" s="153"/>
      <c r="J18" s="153">
        <v>3</v>
      </c>
    </row>
    <row r="19" spans="1:10" ht="15.6" x14ac:dyDescent="0.3">
      <c r="A19" s="91" t="s">
        <v>283</v>
      </c>
      <c r="B19" s="91" t="s">
        <v>284</v>
      </c>
      <c r="C19" s="91" t="s">
        <v>285</v>
      </c>
      <c r="D19" s="124">
        <v>208910947</v>
      </c>
      <c r="E19" s="179"/>
      <c r="F19" s="180">
        <v>5</v>
      </c>
      <c r="G19" s="153">
        <v>5</v>
      </c>
      <c r="H19" s="132"/>
      <c r="I19" s="153"/>
      <c r="J19" s="153">
        <v>3</v>
      </c>
    </row>
    <row r="20" spans="1:10" ht="15.6" x14ac:dyDescent="0.3">
      <c r="A20" s="91" t="s">
        <v>286</v>
      </c>
      <c r="B20" s="91" t="s">
        <v>287</v>
      </c>
      <c r="C20" s="91" t="s">
        <v>288</v>
      </c>
      <c r="D20" s="124">
        <v>209100689</v>
      </c>
      <c r="E20" s="179"/>
      <c r="F20" s="180">
        <v>3.5</v>
      </c>
      <c r="G20" s="153">
        <v>4.7</v>
      </c>
      <c r="H20" s="132"/>
      <c r="I20" s="153"/>
      <c r="J20" s="153">
        <v>3</v>
      </c>
    </row>
    <row r="21" spans="1:10" ht="15.6" x14ac:dyDescent="0.3">
      <c r="A21" s="91" t="s">
        <v>289</v>
      </c>
      <c r="B21" s="91" t="s">
        <v>290</v>
      </c>
      <c r="C21" s="91" t="s">
        <v>291</v>
      </c>
      <c r="D21" s="124">
        <v>209060003</v>
      </c>
      <c r="E21" s="179"/>
      <c r="F21" s="180">
        <v>4.58</v>
      </c>
      <c r="G21" s="153">
        <v>4.7</v>
      </c>
      <c r="H21" s="132"/>
      <c r="I21" s="153"/>
      <c r="J21" s="153">
        <v>3</v>
      </c>
    </row>
    <row r="22" spans="1:10" ht="15.6" x14ac:dyDescent="0.3">
      <c r="A22" s="91" t="s">
        <v>292</v>
      </c>
      <c r="B22" s="91" t="s">
        <v>293</v>
      </c>
      <c r="C22" s="91" t="s">
        <v>294</v>
      </c>
      <c r="D22" s="124">
        <v>208980531</v>
      </c>
      <c r="E22" s="179"/>
      <c r="F22" s="180">
        <v>5</v>
      </c>
      <c r="G22" s="153">
        <v>5</v>
      </c>
      <c r="H22" s="132"/>
      <c r="I22" s="153"/>
      <c r="J22" s="153">
        <v>3</v>
      </c>
    </row>
    <row r="23" spans="1:10" ht="15.6" x14ac:dyDescent="0.3">
      <c r="A23" s="91" t="s">
        <v>295</v>
      </c>
      <c r="B23" s="91" t="s">
        <v>296</v>
      </c>
      <c r="C23" s="91" t="s">
        <v>297</v>
      </c>
      <c r="D23" s="124">
        <v>208990532</v>
      </c>
      <c r="E23" s="179"/>
      <c r="F23" s="180">
        <v>5</v>
      </c>
      <c r="G23" s="153">
        <v>5</v>
      </c>
      <c r="H23" s="132"/>
      <c r="I23" s="153"/>
      <c r="J23" s="153">
        <v>3</v>
      </c>
    </row>
    <row r="24" spans="1:10" ht="15.6" x14ac:dyDescent="0.3">
      <c r="A24" s="91" t="s">
        <v>298</v>
      </c>
      <c r="B24" s="91" t="s">
        <v>292</v>
      </c>
      <c r="C24" s="91" t="s">
        <v>299</v>
      </c>
      <c r="D24" s="124">
        <v>209040294</v>
      </c>
      <c r="E24" s="179"/>
      <c r="F24" s="180">
        <v>4.58</v>
      </c>
      <c r="G24" s="153">
        <v>5</v>
      </c>
      <c r="H24" s="132"/>
      <c r="I24" s="153"/>
      <c r="J24" s="153">
        <v>3</v>
      </c>
    </row>
    <row r="25" spans="1:10" ht="15.6" x14ac:dyDescent="0.3">
      <c r="A25" s="91" t="s">
        <v>266</v>
      </c>
      <c r="B25" s="91" t="s">
        <v>300</v>
      </c>
      <c r="C25" s="91" t="s">
        <v>301</v>
      </c>
      <c r="D25" s="124">
        <v>209020129</v>
      </c>
      <c r="E25" s="179"/>
      <c r="F25" s="180">
        <v>4.16</v>
      </c>
      <c r="G25" s="153">
        <v>4.7</v>
      </c>
      <c r="H25" s="132"/>
      <c r="I25" s="153"/>
      <c r="J25" s="153">
        <v>3</v>
      </c>
    </row>
    <row r="26" spans="1:10" ht="15.6" x14ac:dyDescent="0.3">
      <c r="A26" s="91" t="s">
        <v>287</v>
      </c>
      <c r="B26" s="91" t="s">
        <v>302</v>
      </c>
      <c r="C26" s="91" t="s">
        <v>303</v>
      </c>
      <c r="D26" s="124">
        <v>208980881</v>
      </c>
      <c r="E26" s="179"/>
      <c r="F26" s="180">
        <v>4.79</v>
      </c>
      <c r="G26" s="153">
        <v>5</v>
      </c>
      <c r="H26" s="132"/>
      <c r="I26" s="153"/>
      <c r="J26" s="153">
        <v>3</v>
      </c>
    </row>
    <row r="27" spans="1:10" ht="15.6" x14ac:dyDescent="0.3">
      <c r="A27" s="91" t="s">
        <v>304</v>
      </c>
      <c r="B27" s="91" t="s">
        <v>295</v>
      </c>
      <c r="C27" s="91" t="s">
        <v>305</v>
      </c>
      <c r="D27" s="124">
        <v>120280412</v>
      </c>
      <c r="E27" s="179"/>
      <c r="F27" s="180">
        <v>4.37</v>
      </c>
      <c r="G27" s="153">
        <v>4.55</v>
      </c>
      <c r="H27" s="132"/>
      <c r="I27" s="153"/>
      <c r="J27" s="153">
        <v>3</v>
      </c>
    </row>
    <row r="28" spans="1:10" ht="15.6" x14ac:dyDescent="0.3">
      <c r="A28" s="3"/>
      <c r="B28" s="3"/>
      <c r="C28" s="3"/>
      <c r="D28" s="3"/>
    </row>
    <row r="29" spans="1:10" ht="15.6" x14ac:dyDescent="0.3">
      <c r="A29" s="3"/>
      <c r="B29" s="3"/>
      <c r="C29" s="3"/>
      <c r="D29" s="3"/>
    </row>
  </sheetData>
  <mergeCells count="3">
    <mergeCell ref="A4:F8"/>
    <mergeCell ref="F1:G1"/>
    <mergeCell ref="I1:J1"/>
  </mergeCells>
  <phoneticPr fontId="16" type="noConversion"/>
  <dataValidations count="2">
    <dataValidation type="list" allowBlank="1" showInputMessage="1" showErrorMessage="1" sqref="H10" xr:uid="{FD0E7BE1-8410-449B-9082-17209BF14AAD}">
      <formula1>"Notas, Porcentaje"</formula1>
    </dataValidation>
    <dataValidation showInputMessage="1" showErrorMessage="1" errorTitle="Error en porcentaje." error="El porcentaje obtenido no puede ser mayor al porcentaje que vale Tareas en el periodo 1._x000a_" sqref="F13:F27" xr:uid="{827D54F6-F087-4DB6-A9AA-437A9C232FF9}"/>
  </dataValidations>
  <hyperlinks>
    <hyperlink ref="C1" location="Proyectos!A1" display="Ir a Proyectos" xr:uid="{BC95A47D-ABA4-42A6-956A-8A4318C55491}"/>
    <hyperlink ref="A1" location="Principal!A1" display="Volver a principal" xr:uid="{3018E32A-643F-4FC4-AB85-D59BE4548B5A}"/>
    <hyperlink ref="B1" location="Evaluaciones!A1" display="Ir a Evaluaciones" xr:uid="{8136335B-DB57-4EE9-912D-B62B49F5B054}"/>
    <hyperlink ref="D1" location="Portafolio!A1" display="Ir a Portafolio" xr:uid="{7414DB86-ACCE-4B1F-B32B-54DEEE77EBF4}"/>
    <hyperlink ref="E1" location="Indicadores!A1" display="Ir a Indicadores" xr:uid="{14481B41-BDF7-44C9-B9E2-04826D60C553}"/>
  </hyperlink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decimal" showInputMessage="1" showErrorMessage="1" errorTitle="Error en porcentaje" error="El porcentaje obtenido no puede ser mayor al porcentaje que vale Tareas en el periodo 1._x000a_" xr:uid="{6893A9AE-56B5-400E-BC4A-CB622F2E8F95}">
          <x14:formula1>
            <xm:f>0</xm:f>
          </x14:formula1>
          <x14:formula2>
            <xm:f>Principal!$G$3</xm:f>
          </x14:formula2>
          <xm:sqref>E13:E27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>
    <tabColor theme="5"/>
  </sheetPr>
  <dimension ref="A1:J29"/>
  <sheetViews>
    <sheetView showGridLines="0" topLeftCell="B1" zoomScale="90" zoomScaleNormal="90" workbookViewId="0">
      <selection activeCell="I28" sqref="I28"/>
    </sheetView>
  </sheetViews>
  <sheetFormatPr baseColWidth="10" defaultColWidth="8.77734375" defaultRowHeight="14.4" x14ac:dyDescent="0.3"/>
  <cols>
    <col min="1" max="6" width="22.77734375" customWidth="1"/>
    <col min="7" max="10" width="22.77734375" style="50" customWidth="1"/>
    <col min="11" max="16384" width="8.77734375" style="50"/>
  </cols>
  <sheetData>
    <row r="1" spans="1:10" ht="27" customHeight="1" thickBot="1" x14ac:dyDescent="0.35">
      <c r="A1" s="114" t="s">
        <v>240</v>
      </c>
      <c r="B1" s="55" t="s">
        <v>237</v>
      </c>
      <c r="C1" s="53" t="s">
        <v>235</v>
      </c>
      <c r="D1" s="86" t="s">
        <v>239</v>
      </c>
      <c r="E1" s="122" t="s">
        <v>238</v>
      </c>
      <c r="F1" s="244" t="s">
        <v>34</v>
      </c>
      <c r="G1" s="245"/>
      <c r="I1" s="246" t="s">
        <v>37</v>
      </c>
      <c r="J1" s="247"/>
    </row>
    <row r="2" spans="1:10" ht="27" customHeight="1" thickTop="1" thickBot="1" x14ac:dyDescent="0.35">
      <c r="A2" s="121"/>
      <c r="C2" s="50"/>
      <c r="D2" s="50"/>
      <c r="E2" s="50"/>
      <c r="F2" s="115" t="s">
        <v>248</v>
      </c>
      <c r="G2" s="116">
        <v>20</v>
      </c>
      <c r="I2" s="115" t="s">
        <v>249</v>
      </c>
      <c r="J2" s="117">
        <v>20</v>
      </c>
    </row>
    <row r="3" spans="1:10" ht="27" customHeight="1" thickTop="1" thickBot="1" x14ac:dyDescent="0.35">
      <c r="B3" s="92"/>
      <c r="C3" s="92"/>
      <c r="D3" s="92"/>
      <c r="E3" s="92"/>
      <c r="F3" s="115" t="s">
        <v>250</v>
      </c>
      <c r="G3" s="118">
        <v>25</v>
      </c>
      <c r="I3" s="115" t="s">
        <v>251</v>
      </c>
      <c r="J3" s="118">
        <v>25</v>
      </c>
    </row>
    <row r="4" spans="1:10" ht="14.55" customHeight="1" thickTop="1" x14ac:dyDescent="0.3">
      <c r="A4" s="248" t="s">
        <v>5</v>
      </c>
      <c r="B4" s="248"/>
      <c r="C4" s="248"/>
      <c r="D4" s="248"/>
      <c r="E4" s="248"/>
      <c r="F4" s="248"/>
    </row>
    <row r="5" spans="1:10" ht="14.55" customHeight="1" x14ac:dyDescent="0.3">
      <c r="A5" s="248"/>
      <c r="B5" s="248"/>
      <c r="C5" s="248"/>
      <c r="D5" s="248"/>
      <c r="E5" s="248"/>
      <c r="F5" s="248"/>
    </row>
    <row r="6" spans="1:10" ht="14.55" customHeight="1" x14ac:dyDescent="0.3">
      <c r="A6" s="248"/>
      <c r="B6" s="248"/>
      <c r="C6" s="248"/>
      <c r="D6" s="248"/>
      <c r="E6" s="248"/>
      <c r="F6" s="248"/>
    </row>
    <row r="7" spans="1:10" ht="14.55" customHeight="1" x14ac:dyDescent="0.3">
      <c r="A7" s="248"/>
      <c r="B7" s="248"/>
      <c r="C7" s="248"/>
      <c r="D7" s="248"/>
      <c r="E7" s="248"/>
      <c r="F7" s="248"/>
    </row>
    <row r="8" spans="1:10" ht="14.55" customHeight="1" x14ac:dyDescent="0.3">
      <c r="A8" s="248"/>
      <c r="B8" s="248"/>
      <c r="C8" s="248"/>
      <c r="D8" s="248"/>
      <c r="E8" s="248"/>
      <c r="F8" s="248"/>
    </row>
    <row r="9" spans="1:10" ht="14.55" customHeight="1" x14ac:dyDescent="0.3">
      <c r="A9" s="248"/>
      <c r="B9" s="248"/>
      <c r="C9" s="248"/>
      <c r="D9" s="248"/>
      <c r="E9" s="248"/>
      <c r="F9" s="248"/>
    </row>
    <row r="10" spans="1:10" ht="14.55" customHeight="1" x14ac:dyDescent="0.3">
      <c r="A10" s="92"/>
      <c r="B10" s="92"/>
      <c r="C10" s="92"/>
      <c r="D10" s="92"/>
      <c r="E10" s="85" t="str">
        <f>"Valor porcental por periodo: " &amp; Principal!G4 &amp; "%"</f>
        <v>Valor porcental por periodo: 45%</v>
      </c>
      <c r="G10" s="119" t="s">
        <v>252</v>
      </c>
      <c r="H10" s="119" t="s">
        <v>264</v>
      </c>
    </row>
    <row r="11" spans="1:10" x14ac:dyDescent="0.3">
      <c r="A11" s="50"/>
      <c r="B11" s="50"/>
      <c r="C11" s="50"/>
      <c r="D11" s="50"/>
      <c r="E11" s="50"/>
      <c r="F11" s="50"/>
    </row>
    <row r="12" spans="1:10" ht="15.6" x14ac:dyDescent="0.3">
      <c r="A12" s="93" t="s">
        <v>0</v>
      </c>
      <c r="B12" s="93" t="s">
        <v>1</v>
      </c>
      <c r="C12" s="93" t="s">
        <v>2</v>
      </c>
      <c r="D12" s="93" t="s">
        <v>3</v>
      </c>
      <c r="E12" s="120" t="s">
        <v>58</v>
      </c>
      <c r="F12" s="89" t="s">
        <v>230</v>
      </c>
      <c r="G12" s="89" t="s">
        <v>231</v>
      </c>
      <c r="H12" s="120" t="s">
        <v>59</v>
      </c>
      <c r="I12" s="31" t="s">
        <v>253</v>
      </c>
      <c r="J12" s="31" t="s">
        <v>254</v>
      </c>
    </row>
    <row r="13" spans="1:10" ht="15" x14ac:dyDescent="0.3">
      <c r="A13" s="24" t="s">
        <v>268</v>
      </c>
      <c r="B13" s="24" t="s">
        <v>269</v>
      </c>
      <c r="C13" s="24" t="s">
        <v>270</v>
      </c>
      <c r="D13" s="125">
        <v>209070147</v>
      </c>
      <c r="E13" s="123"/>
      <c r="F13" s="154">
        <v>19.23</v>
      </c>
      <c r="G13" s="154">
        <v>24.01</v>
      </c>
      <c r="H13" s="123"/>
      <c r="I13" s="154">
        <v>18.84</v>
      </c>
      <c r="J13" s="154">
        <v>25</v>
      </c>
    </row>
    <row r="14" spans="1:10" ht="15" x14ac:dyDescent="0.3">
      <c r="A14" s="24" t="s">
        <v>268</v>
      </c>
      <c r="B14" s="24" t="s">
        <v>267</v>
      </c>
      <c r="C14" s="24" t="s">
        <v>271</v>
      </c>
      <c r="D14" s="125">
        <v>209040532</v>
      </c>
      <c r="E14" s="123"/>
      <c r="F14" s="154">
        <v>20</v>
      </c>
      <c r="G14" s="154">
        <v>23.03</v>
      </c>
      <c r="H14" s="123"/>
      <c r="I14" s="154">
        <v>18.07</v>
      </c>
      <c r="J14" s="154">
        <v>25</v>
      </c>
    </row>
    <row r="15" spans="1:10" ht="15" x14ac:dyDescent="0.3">
      <c r="A15" s="24" t="s">
        <v>272</v>
      </c>
      <c r="B15" s="24" t="s">
        <v>273</v>
      </c>
      <c r="C15" s="24" t="s">
        <v>274</v>
      </c>
      <c r="D15" s="125">
        <v>120100787</v>
      </c>
      <c r="E15" s="123"/>
      <c r="F15" s="154">
        <v>20</v>
      </c>
      <c r="G15" s="154">
        <v>25</v>
      </c>
      <c r="H15" s="123"/>
      <c r="I15" s="154">
        <v>19.61</v>
      </c>
      <c r="J15" s="154">
        <v>25</v>
      </c>
    </row>
    <row r="16" spans="1:10" ht="15" x14ac:dyDescent="0.3">
      <c r="A16" s="24" t="s">
        <v>275</v>
      </c>
      <c r="B16" s="24" t="s">
        <v>276</v>
      </c>
      <c r="C16" s="24" t="s">
        <v>277</v>
      </c>
      <c r="D16" s="125">
        <v>209010382</v>
      </c>
      <c r="E16" s="123"/>
      <c r="F16" s="154">
        <v>19.23</v>
      </c>
      <c r="G16" s="154">
        <v>24.5</v>
      </c>
      <c r="H16" s="123"/>
      <c r="I16" s="154">
        <v>18.84</v>
      </c>
      <c r="J16" s="154">
        <v>25</v>
      </c>
    </row>
    <row r="17" spans="1:10" ht="15" x14ac:dyDescent="0.3">
      <c r="A17" s="24" t="s">
        <v>275</v>
      </c>
      <c r="B17" s="24" t="s">
        <v>278</v>
      </c>
      <c r="C17" s="24" t="s">
        <v>279</v>
      </c>
      <c r="D17" s="125">
        <v>209050852</v>
      </c>
      <c r="E17" s="123"/>
      <c r="F17" s="154">
        <v>18.46</v>
      </c>
      <c r="G17" s="154">
        <v>24.01</v>
      </c>
      <c r="H17" s="123"/>
      <c r="I17" s="154">
        <v>18.84</v>
      </c>
      <c r="J17" s="154">
        <v>25</v>
      </c>
    </row>
    <row r="18" spans="1:10" ht="15" x14ac:dyDescent="0.3">
      <c r="A18" s="24" t="s">
        <v>280</v>
      </c>
      <c r="B18" s="24" t="s">
        <v>281</v>
      </c>
      <c r="C18" s="24" t="s">
        <v>282</v>
      </c>
      <c r="D18" s="125">
        <v>209050481</v>
      </c>
      <c r="E18" s="123"/>
      <c r="F18" s="154">
        <v>18.07</v>
      </c>
      <c r="G18" s="154">
        <v>24.01</v>
      </c>
      <c r="H18" s="123"/>
      <c r="I18" s="154">
        <v>18.07</v>
      </c>
      <c r="J18" s="154">
        <v>25</v>
      </c>
    </row>
    <row r="19" spans="1:10" ht="15" x14ac:dyDescent="0.3">
      <c r="A19" s="24" t="s">
        <v>283</v>
      </c>
      <c r="B19" s="24" t="s">
        <v>284</v>
      </c>
      <c r="C19" s="24" t="s">
        <v>285</v>
      </c>
      <c r="D19" s="125">
        <v>208910947</v>
      </c>
      <c r="E19" s="123"/>
      <c r="F19" s="154">
        <v>20</v>
      </c>
      <c r="G19" s="154">
        <v>25</v>
      </c>
      <c r="H19" s="123"/>
      <c r="I19" s="154">
        <v>19.61</v>
      </c>
      <c r="J19" s="154">
        <v>25</v>
      </c>
    </row>
    <row r="20" spans="1:10" ht="15" x14ac:dyDescent="0.3">
      <c r="A20" s="24" t="s">
        <v>286</v>
      </c>
      <c r="B20" s="24" t="s">
        <v>287</v>
      </c>
      <c r="C20" s="24" t="s">
        <v>288</v>
      </c>
      <c r="D20" s="125">
        <v>209100689</v>
      </c>
      <c r="E20" s="123"/>
      <c r="F20" s="154">
        <v>15.76</v>
      </c>
      <c r="G20" s="154">
        <v>15.68</v>
      </c>
      <c r="H20" s="123"/>
      <c r="I20" s="154">
        <v>5.7</v>
      </c>
      <c r="J20" s="154"/>
    </row>
    <row r="21" spans="1:10" ht="15" x14ac:dyDescent="0.3">
      <c r="A21" s="24" t="s">
        <v>289</v>
      </c>
      <c r="B21" s="24" t="s">
        <v>290</v>
      </c>
      <c r="C21" s="24" t="s">
        <v>291</v>
      </c>
      <c r="D21" s="125">
        <v>209060003</v>
      </c>
      <c r="E21" s="123"/>
      <c r="F21" s="154">
        <v>19.61</v>
      </c>
      <c r="G21" s="154">
        <v>24.01</v>
      </c>
      <c r="H21" s="123"/>
      <c r="I21" s="154">
        <v>18.84</v>
      </c>
      <c r="J21" s="154">
        <v>25</v>
      </c>
    </row>
    <row r="22" spans="1:10" ht="15" x14ac:dyDescent="0.3">
      <c r="A22" s="24" t="s">
        <v>292</v>
      </c>
      <c r="B22" s="24" t="s">
        <v>293</v>
      </c>
      <c r="C22" s="24" t="s">
        <v>294</v>
      </c>
      <c r="D22" s="125">
        <v>208980531</v>
      </c>
      <c r="E22" s="123"/>
      <c r="F22" s="154">
        <v>18.86</v>
      </c>
      <c r="G22" s="154">
        <v>24.01</v>
      </c>
      <c r="H22" s="123"/>
      <c r="I22" s="154">
        <v>19.23</v>
      </c>
      <c r="J22" s="154">
        <v>25</v>
      </c>
    </row>
    <row r="23" spans="1:10" ht="15" x14ac:dyDescent="0.3">
      <c r="A23" s="24" t="s">
        <v>295</v>
      </c>
      <c r="B23" s="24" t="s">
        <v>296</v>
      </c>
      <c r="C23" s="24" t="s">
        <v>297</v>
      </c>
      <c r="D23" s="125">
        <v>208990532</v>
      </c>
      <c r="E23" s="123"/>
      <c r="F23" s="154">
        <v>20</v>
      </c>
      <c r="G23" s="154">
        <v>25</v>
      </c>
      <c r="H23" s="123"/>
      <c r="I23" s="154">
        <v>19.61</v>
      </c>
      <c r="J23" s="154">
        <v>25</v>
      </c>
    </row>
    <row r="24" spans="1:10" ht="15" x14ac:dyDescent="0.3">
      <c r="A24" s="24" t="s">
        <v>298</v>
      </c>
      <c r="B24" s="24" t="s">
        <v>292</v>
      </c>
      <c r="C24" s="24" t="s">
        <v>299</v>
      </c>
      <c r="D24" s="125">
        <v>209040294</v>
      </c>
      <c r="E24" s="123"/>
      <c r="F24" s="154">
        <v>16.920000000000002</v>
      </c>
      <c r="G24" s="154">
        <v>22.05</v>
      </c>
      <c r="H24" s="123"/>
      <c r="I24" s="154">
        <v>18.46</v>
      </c>
      <c r="J24" s="154">
        <v>25</v>
      </c>
    </row>
    <row r="25" spans="1:10" ht="15" x14ac:dyDescent="0.3">
      <c r="A25" s="24" t="s">
        <v>266</v>
      </c>
      <c r="B25" s="24" t="s">
        <v>300</v>
      </c>
      <c r="C25" s="24" t="s">
        <v>301</v>
      </c>
      <c r="D25" s="125">
        <v>209020129</v>
      </c>
      <c r="E25" s="123"/>
      <c r="F25" s="154">
        <v>17.690000000000001</v>
      </c>
      <c r="G25" s="154">
        <v>23.03</v>
      </c>
      <c r="H25" s="123"/>
      <c r="I25" s="154">
        <v>18.46</v>
      </c>
      <c r="J25" s="154">
        <v>25</v>
      </c>
    </row>
    <row r="26" spans="1:10" ht="15" x14ac:dyDescent="0.3">
      <c r="A26" s="24" t="s">
        <v>287</v>
      </c>
      <c r="B26" s="24" t="s">
        <v>302</v>
      </c>
      <c r="C26" s="24" t="s">
        <v>303</v>
      </c>
      <c r="D26" s="125">
        <v>208980881</v>
      </c>
      <c r="E26" s="123"/>
      <c r="F26" s="154">
        <v>19.71</v>
      </c>
      <c r="G26" s="154">
        <v>23</v>
      </c>
      <c r="H26" s="123"/>
      <c r="I26" s="154">
        <v>19.23</v>
      </c>
      <c r="J26" s="154">
        <v>25</v>
      </c>
    </row>
    <row r="27" spans="1:10" ht="15" x14ac:dyDescent="0.3">
      <c r="A27" s="24" t="s">
        <v>304</v>
      </c>
      <c r="B27" s="24" t="s">
        <v>295</v>
      </c>
      <c r="C27" s="24" t="s">
        <v>305</v>
      </c>
      <c r="D27" s="125">
        <v>120280412</v>
      </c>
      <c r="E27" s="123"/>
      <c r="F27" s="154">
        <v>18.46</v>
      </c>
      <c r="G27" s="154">
        <v>22.54</v>
      </c>
      <c r="H27" s="123"/>
      <c r="I27" s="154">
        <v>18.07</v>
      </c>
      <c r="J27" s="154">
        <v>25</v>
      </c>
    </row>
    <row r="28" spans="1:10" ht="15.6" x14ac:dyDescent="0.3">
      <c r="A28" s="3"/>
      <c r="B28" s="3"/>
      <c r="C28" s="3"/>
      <c r="D28" s="3"/>
    </row>
    <row r="29" spans="1:10" ht="15.6" x14ac:dyDescent="0.3">
      <c r="A29" s="3"/>
      <c r="B29" s="3"/>
      <c r="C29" s="3"/>
      <c r="D29" s="3"/>
    </row>
  </sheetData>
  <mergeCells count="3">
    <mergeCell ref="A4:F9"/>
    <mergeCell ref="F1:G1"/>
    <mergeCell ref="I1:J1"/>
  </mergeCells>
  <phoneticPr fontId="16" type="noConversion"/>
  <dataValidations count="1">
    <dataValidation type="list" allowBlank="1" showInputMessage="1" showErrorMessage="1" sqref="H10" xr:uid="{889A8295-FD49-494A-96A9-D54D770C6866}">
      <formula1>"Notas, Porcentaje"</formula1>
    </dataValidation>
  </dataValidations>
  <hyperlinks>
    <hyperlink ref="E1" location="Indicadores!A1" display="Ir a Indicadores" xr:uid="{64B9E10E-B657-4B16-9A24-9FDD93DDDA1E}"/>
    <hyperlink ref="C1" location="Tareas!A1" display="Ir a Tareas" xr:uid="{33878B5F-F663-4DDF-BB5F-B4F62881969F}"/>
    <hyperlink ref="A1" location="Principal!A1" display="Volver a principal" xr:uid="{9FDD3B47-0320-40F2-92C0-65506661946D}"/>
    <hyperlink ref="D1" location="Proyectos!A1" display="Ir a Proyectos" xr:uid="{4DCC638B-E420-419F-BC3D-BD2B8D440CDD}"/>
    <hyperlink ref="B1" location="Portafolio!A1" display="Ir a Portafolio" xr:uid="{E9F8F23C-1727-46C9-BEE1-07C22DD95D1A}"/>
  </hyperlinks>
  <pageMargins left="0.75" right="0.75" top="1" bottom="1" header="0.5" footer="0.5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>
    <tabColor theme="7" tint="0.59999389629810485"/>
  </sheetPr>
  <dimension ref="A1:F32"/>
  <sheetViews>
    <sheetView showGridLines="0" workbookViewId="0">
      <pane ySplit="14" topLeftCell="A15" activePane="bottomLeft" state="frozen"/>
      <selection pane="bottomLeft" activeCell="F30" sqref="F30"/>
    </sheetView>
  </sheetViews>
  <sheetFormatPr baseColWidth="10" defaultColWidth="8.77734375" defaultRowHeight="14.4" x14ac:dyDescent="0.3"/>
  <cols>
    <col min="1" max="1" width="20.77734375" customWidth="1"/>
    <col min="2" max="2" width="23" customWidth="1"/>
    <col min="3" max="3" width="23.77734375" customWidth="1"/>
    <col min="4" max="4" width="21.77734375" customWidth="1"/>
    <col min="5" max="5" width="20.77734375" customWidth="1"/>
    <col min="6" max="6" width="18.44140625" customWidth="1"/>
    <col min="7" max="7" width="18.6640625" style="50" customWidth="1"/>
    <col min="8" max="16384" width="8.77734375" style="50"/>
  </cols>
  <sheetData>
    <row r="1" spans="1:6" ht="15.6" x14ac:dyDescent="0.3">
      <c r="A1" s="52" t="s">
        <v>240</v>
      </c>
      <c r="B1" s="53" t="s">
        <v>235</v>
      </c>
      <c r="C1" s="54" t="s">
        <v>236</v>
      </c>
      <c r="D1" s="55" t="s">
        <v>237</v>
      </c>
      <c r="E1" s="87" t="s">
        <v>238</v>
      </c>
      <c r="F1" s="50"/>
    </row>
    <row r="2" spans="1:6" x14ac:dyDescent="0.3">
      <c r="A2" s="50"/>
      <c r="B2" s="50"/>
      <c r="C2" s="50"/>
      <c r="D2" s="50"/>
      <c r="E2" s="50"/>
      <c r="F2" s="50"/>
    </row>
    <row r="3" spans="1:6" x14ac:dyDescent="0.3">
      <c r="A3" s="249" t="s">
        <v>232</v>
      </c>
      <c r="B3" s="249"/>
      <c r="C3" s="249"/>
      <c r="D3" s="249"/>
      <c r="E3" s="249"/>
      <c r="F3" s="249"/>
    </row>
    <row r="4" spans="1:6" x14ac:dyDescent="0.3">
      <c r="A4" s="249"/>
      <c r="B4" s="249"/>
      <c r="C4" s="249"/>
      <c r="D4" s="249"/>
      <c r="E4" s="249"/>
      <c r="F4" s="249"/>
    </row>
    <row r="5" spans="1:6" x14ac:dyDescent="0.3">
      <c r="A5" s="249"/>
      <c r="B5" s="249"/>
      <c r="C5" s="249"/>
      <c r="D5" s="249"/>
      <c r="E5" s="249"/>
      <c r="F5" s="249"/>
    </row>
    <row r="6" spans="1:6" x14ac:dyDescent="0.3">
      <c r="A6" s="249"/>
      <c r="B6" s="249"/>
      <c r="C6" s="249"/>
      <c r="D6" s="249"/>
      <c r="E6" s="249"/>
      <c r="F6" s="249"/>
    </row>
    <row r="7" spans="1:6" x14ac:dyDescent="0.3">
      <c r="A7" s="249"/>
      <c r="B7" s="249"/>
      <c r="C7" s="249"/>
      <c r="D7" s="249"/>
      <c r="E7" s="249"/>
      <c r="F7" s="249"/>
    </row>
    <row r="8" spans="1:6" x14ac:dyDescent="0.3">
      <c r="A8" s="249"/>
      <c r="B8" s="249"/>
      <c r="C8" s="249"/>
      <c r="D8" s="249"/>
      <c r="E8" s="249"/>
      <c r="F8" s="249"/>
    </row>
    <row r="9" spans="1:6" x14ac:dyDescent="0.3">
      <c r="A9" s="249"/>
      <c r="B9" s="249"/>
      <c r="C9" s="249"/>
      <c r="D9" s="249"/>
      <c r="E9" s="249"/>
      <c r="F9" s="249"/>
    </row>
    <row r="10" spans="1:6" x14ac:dyDescent="0.3">
      <c r="A10" s="249"/>
      <c r="B10" s="249"/>
      <c r="C10" s="249"/>
      <c r="D10" s="249"/>
      <c r="E10" s="249"/>
      <c r="F10" s="249"/>
    </row>
    <row r="11" spans="1:6" x14ac:dyDescent="0.3">
      <c r="A11" s="249"/>
      <c r="B11" s="249"/>
      <c r="C11" s="249"/>
      <c r="D11" s="249"/>
      <c r="E11" s="249"/>
      <c r="F11" s="249"/>
    </row>
    <row r="12" spans="1:6" ht="15.6" x14ac:dyDescent="0.3">
      <c r="A12" s="50"/>
      <c r="B12" s="50"/>
      <c r="C12" s="50"/>
      <c r="D12" s="250" t="str">
        <f>"Valor porcental por periodo: " &amp; Principal!G5 &amp; "%"</f>
        <v>Valor porcental por periodo: 15%</v>
      </c>
      <c r="E12" s="250"/>
      <c r="F12" s="250"/>
    </row>
    <row r="13" spans="1:6" x14ac:dyDescent="0.3">
      <c r="A13" s="50"/>
      <c r="B13" s="50"/>
      <c r="C13" s="50"/>
      <c r="D13" s="50"/>
      <c r="E13" s="50"/>
      <c r="F13" s="50"/>
    </row>
    <row r="14" spans="1:6" ht="15.6" x14ac:dyDescent="0.3">
      <c r="A14" s="93" t="s">
        <v>0</v>
      </c>
      <c r="B14" s="93" t="s">
        <v>1</v>
      </c>
      <c r="C14" s="93" t="s">
        <v>2</v>
      </c>
      <c r="D14" s="93" t="s">
        <v>3</v>
      </c>
      <c r="E14" s="31" t="s">
        <v>43</v>
      </c>
      <c r="F14" s="31" t="s">
        <v>48</v>
      </c>
    </row>
    <row r="15" spans="1:6" ht="15" x14ac:dyDescent="0.3">
      <c r="A15" s="24" t="s">
        <v>268</v>
      </c>
      <c r="B15" s="24" t="s">
        <v>269</v>
      </c>
      <c r="C15" s="24" t="s">
        <v>270</v>
      </c>
      <c r="D15" s="125">
        <v>209070147</v>
      </c>
      <c r="E15" s="154">
        <v>15</v>
      </c>
      <c r="F15" s="154">
        <v>15</v>
      </c>
    </row>
    <row r="16" spans="1:6" ht="15" x14ac:dyDescent="0.3">
      <c r="A16" s="24" t="s">
        <v>268</v>
      </c>
      <c r="B16" s="24" t="s">
        <v>267</v>
      </c>
      <c r="C16" s="24" t="s">
        <v>271</v>
      </c>
      <c r="D16" s="125">
        <v>209040532</v>
      </c>
      <c r="E16" s="154">
        <v>14.37</v>
      </c>
      <c r="F16" s="154">
        <v>15</v>
      </c>
    </row>
    <row r="17" spans="1:6" ht="15" x14ac:dyDescent="0.3">
      <c r="A17" s="24" t="s">
        <v>272</v>
      </c>
      <c r="B17" s="24" t="s">
        <v>273</v>
      </c>
      <c r="C17" s="24" t="s">
        <v>274</v>
      </c>
      <c r="D17" s="125">
        <v>120100787</v>
      </c>
      <c r="E17" s="154">
        <v>15</v>
      </c>
      <c r="F17" s="154">
        <v>15</v>
      </c>
    </row>
    <row r="18" spans="1:6" ht="15" x14ac:dyDescent="0.3">
      <c r="A18" s="24" t="s">
        <v>275</v>
      </c>
      <c r="B18" s="24" t="s">
        <v>276</v>
      </c>
      <c r="C18" s="24" t="s">
        <v>277</v>
      </c>
      <c r="D18" s="125">
        <v>209010382</v>
      </c>
      <c r="E18" s="154">
        <v>14.7</v>
      </c>
      <c r="F18" s="154">
        <v>15</v>
      </c>
    </row>
    <row r="19" spans="1:6" ht="15" x14ac:dyDescent="0.3">
      <c r="A19" s="24" t="s">
        <v>275</v>
      </c>
      <c r="B19" s="24" t="s">
        <v>278</v>
      </c>
      <c r="C19" s="24" t="s">
        <v>279</v>
      </c>
      <c r="D19" s="125">
        <v>209050852</v>
      </c>
      <c r="E19" s="154">
        <v>14.37</v>
      </c>
      <c r="F19" s="154">
        <v>15</v>
      </c>
    </row>
    <row r="20" spans="1:6" ht="15" x14ac:dyDescent="0.3">
      <c r="A20" s="24" t="s">
        <v>280</v>
      </c>
      <c r="B20" s="24" t="s">
        <v>281</v>
      </c>
      <c r="C20" s="24" t="s">
        <v>282</v>
      </c>
      <c r="D20" s="125">
        <v>209050481</v>
      </c>
      <c r="E20" s="154">
        <v>13.75</v>
      </c>
      <c r="F20" s="154">
        <v>15</v>
      </c>
    </row>
    <row r="21" spans="1:6" ht="15" x14ac:dyDescent="0.3">
      <c r="A21" s="24" t="s">
        <v>283</v>
      </c>
      <c r="B21" s="24" t="s">
        <v>284</v>
      </c>
      <c r="C21" s="24" t="s">
        <v>285</v>
      </c>
      <c r="D21" s="125">
        <v>208910947</v>
      </c>
      <c r="E21" s="154">
        <v>15</v>
      </c>
      <c r="F21" s="154">
        <v>15</v>
      </c>
    </row>
    <row r="22" spans="1:6" ht="15" x14ac:dyDescent="0.3">
      <c r="A22" s="24" t="s">
        <v>286</v>
      </c>
      <c r="B22" s="24" t="s">
        <v>287</v>
      </c>
      <c r="C22" s="24" t="s">
        <v>288</v>
      </c>
      <c r="D22" s="125">
        <v>209100689</v>
      </c>
      <c r="E22" s="154">
        <v>10.62</v>
      </c>
      <c r="F22" s="154">
        <v>15</v>
      </c>
    </row>
    <row r="23" spans="1:6" ht="15" x14ac:dyDescent="0.3">
      <c r="A23" s="24" t="s">
        <v>289</v>
      </c>
      <c r="B23" s="24" t="s">
        <v>290</v>
      </c>
      <c r="C23" s="24" t="s">
        <v>291</v>
      </c>
      <c r="D23" s="125">
        <v>209060003</v>
      </c>
      <c r="E23" s="154">
        <v>14.37</v>
      </c>
      <c r="F23" s="154">
        <v>15</v>
      </c>
    </row>
    <row r="24" spans="1:6" ht="15" x14ac:dyDescent="0.3">
      <c r="A24" s="24" t="s">
        <v>292</v>
      </c>
      <c r="B24" s="24" t="s">
        <v>293</v>
      </c>
      <c r="C24" s="24" t="s">
        <v>294</v>
      </c>
      <c r="D24" s="125">
        <v>208980531</v>
      </c>
      <c r="E24" s="154">
        <v>14.37</v>
      </c>
      <c r="F24" s="154">
        <v>15</v>
      </c>
    </row>
    <row r="25" spans="1:6" ht="15" x14ac:dyDescent="0.3">
      <c r="A25" s="24" t="s">
        <v>295</v>
      </c>
      <c r="B25" s="24" t="s">
        <v>296</v>
      </c>
      <c r="C25" s="24" t="s">
        <v>297</v>
      </c>
      <c r="D25" s="125">
        <v>208990532</v>
      </c>
      <c r="E25" s="154">
        <v>15</v>
      </c>
      <c r="F25" s="154">
        <v>15</v>
      </c>
    </row>
    <row r="26" spans="1:6" ht="15" x14ac:dyDescent="0.3">
      <c r="A26" s="24" t="s">
        <v>298</v>
      </c>
      <c r="B26" s="24" t="s">
        <v>292</v>
      </c>
      <c r="C26" s="24" t="s">
        <v>299</v>
      </c>
      <c r="D26" s="125">
        <v>209040294</v>
      </c>
      <c r="E26" s="154">
        <v>14.8</v>
      </c>
      <c r="F26" s="154">
        <v>15</v>
      </c>
    </row>
    <row r="27" spans="1:6" ht="15" x14ac:dyDescent="0.3">
      <c r="A27" s="24" t="s">
        <v>266</v>
      </c>
      <c r="B27" s="24" t="s">
        <v>300</v>
      </c>
      <c r="C27" s="24" t="s">
        <v>301</v>
      </c>
      <c r="D27" s="125">
        <v>209020129</v>
      </c>
      <c r="E27" s="154">
        <v>14.75</v>
      </c>
      <c r="F27" s="154">
        <v>15</v>
      </c>
    </row>
    <row r="28" spans="1:6" ht="15" x14ac:dyDescent="0.3">
      <c r="A28" s="24" t="s">
        <v>287</v>
      </c>
      <c r="B28" s="24" t="s">
        <v>302</v>
      </c>
      <c r="C28" s="24" t="s">
        <v>303</v>
      </c>
      <c r="D28" s="125">
        <v>208980881</v>
      </c>
      <c r="E28" s="154">
        <v>15</v>
      </c>
      <c r="F28" s="154">
        <v>15</v>
      </c>
    </row>
    <row r="29" spans="1:6" ht="15" x14ac:dyDescent="0.3">
      <c r="A29" s="24" t="s">
        <v>304</v>
      </c>
      <c r="B29" s="24" t="s">
        <v>295</v>
      </c>
      <c r="C29" s="24" t="s">
        <v>305</v>
      </c>
      <c r="D29" s="125">
        <v>120280412</v>
      </c>
      <c r="E29" s="154">
        <v>14.37</v>
      </c>
      <c r="F29" s="154">
        <v>15</v>
      </c>
    </row>
    <row r="30" spans="1:6" ht="15.6" x14ac:dyDescent="0.3">
      <c r="A30" s="3"/>
      <c r="B30" s="3"/>
      <c r="C30" s="3"/>
      <c r="D30" s="3"/>
    </row>
    <row r="31" spans="1:6" ht="15.6" x14ac:dyDescent="0.3">
      <c r="A31" s="3"/>
      <c r="B31" s="3"/>
      <c r="C31" s="3"/>
      <c r="D31" s="3"/>
    </row>
    <row r="32" spans="1:6" ht="15.6" x14ac:dyDescent="0.3">
      <c r="A32" s="3"/>
      <c r="B32" s="3"/>
      <c r="C32" s="3"/>
      <c r="D32" s="3"/>
    </row>
  </sheetData>
  <mergeCells count="2">
    <mergeCell ref="A3:F11"/>
    <mergeCell ref="D12:F12"/>
  </mergeCells>
  <phoneticPr fontId="16" type="noConversion"/>
  <hyperlinks>
    <hyperlink ref="A1" location="Principal!A1" display="Volver a principal" xr:uid="{A6BE01DB-B503-49DE-A56B-BFF3390CE8B6}"/>
    <hyperlink ref="B1" location="Tareas!A1" display="Ir a Tareas" xr:uid="{826885C8-8285-4D76-A11D-DDF1BD09F23D}"/>
    <hyperlink ref="C1" location="Evaluaciones!A1" display="Ir a Evaluaciones" xr:uid="{695679A6-FA30-403A-B189-146D6BE336D9}"/>
    <hyperlink ref="D1" location="Portafolio!A1" display="Ir a Portafolio" xr:uid="{8843A405-79A3-489C-A1E2-5FC4E2D619DF}"/>
    <hyperlink ref="E1" location="Indicadores!A1" display="Ir a Indicadores" xr:uid="{F774FDC6-F75C-45AD-A855-DC9BC885C035}"/>
  </hyperlinks>
  <pageMargins left="0.75" right="0.75" top="1" bottom="1" header="0.5" footer="0.5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decimal" showInputMessage="1" showErrorMessage="1" errorTitle="Error" error="El valor agregado no puede ser mayor al porcentaje asignado a Proyecto._x000a_" xr:uid="{862357F7-CB94-4B56-BD62-F08C042E2E34}">
          <x14:formula1>
            <xm:f>0</xm:f>
          </x14:formula1>
          <x14:formula2>
            <xm:f>Principal!$G$5</xm:f>
          </x14:formula2>
          <xm:sqref>E15:F29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FCF929-4445-46AE-9DD8-7AE6EBE6E4AB}">
  <sheetPr codeName="Hoja8">
    <tabColor theme="9" tint="0.79998168889431442"/>
  </sheetPr>
  <dimension ref="A1:H28"/>
  <sheetViews>
    <sheetView showGridLines="0" workbookViewId="0">
      <pane ySplit="10" topLeftCell="A11" activePane="bottomLeft" state="frozen"/>
      <selection pane="bottomLeft" activeCell="E13" sqref="E13"/>
    </sheetView>
  </sheetViews>
  <sheetFormatPr baseColWidth="10" defaultColWidth="11.44140625" defaultRowHeight="14.4" x14ac:dyDescent="0.3"/>
  <cols>
    <col min="1" max="1" width="25.109375" customWidth="1"/>
    <col min="2" max="2" width="21.6640625" customWidth="1"/>
    <col min="3" max="3" width="23.44140625" customWidth="1"/>
    <col min="4" max="4" width="20.109375" style="130" customWidth="1"/>
    <col min="5" max="5" width="24.77734375" style="158" customWidth="1"/>
    <col min="6" max="6" width="16.77734375" style="158" customWidth="1"/>
    <col min="7" max="7" width="23.44140625" style="50" customWidth="1"/>
    <col min="8" max="16384" width="11.44140625" style="50"/>
  </cols>
  <sheetData>
    <row r="1" spans="1:8" ht="15.6" x14ac:dyDescent="0.3">
      <c r="A1" s="52" t="s">
        <v>240</v>
      </c>
      <c r="B1" s="53" t="s">
        <v>235</v>
      </c>
      <c r="C1" s="54" t="s">
        <v>236</v>
      </c>
      <c r="D1" s="126" t="s">
        <v>239</v>
      </c>
      <c r="E1" s="155" t="s">
        <v>238</v>
      </c>
      <c r="F1" s="159"/>
      <c r="G1" s="56"/>
      <c r="H1" s="56"/>
    </row>
    <row r="2" spans="1:8" x14ac:dyDescent="0.3">
      <c r="A2" s="50"/>
      <c r="B2" s="50"/>
      <c r="C2" s="50"/>
      <c r="D2" s="127"/>
      <c r="E2" s="156"/>
      <c r="F2" s="156"/>
    </row>
    <row r="3" spans="1:8" x14ac:dyDescent="0.3">
      <c r="A3" s="251" t="s">
        <v>233</v>
      </c>
      <c r="B3" s="251"/>
      <c r="C3" s="251"/>
      <c r="D3" s="251"/>
      <c r="E3" s="251"/>
      <c r="F3" s="251"/>
    </row>
    <row r="4" spans="1:8" x14ac:dyDescent="0.3">
      <c r="A4" s="251"/>
      <c r="B4" s="251"/>
      <c r="C4" s="251"/>
      <c r="D4" s="251"/>
      <c r="E4" s="251"/>
      <c r="F4" s="251"/>
    </row>
    <row r="5" spans="1:8" x14ac:dyDescent="0.3">
      <c r="A5" s="251"/>
      <c r="B5" s="251"/>
      <c r="C5" s="251"/>
      <c r="D5" s="251"/>
      <c r="E5" s="251"/>
      <c r="F5" s="251"/>
    </row>
    <row r="6" spans="1:8" x14ac:dyDescent="0.3">
      <c r="A6" s="251"/>
      <c r="B6" s="251"/>
      <c r="C6" s="251"/>
      <c r="D6" s="251"/>
      <c r="E6" s="251"/>
      <c r="F6" s="251"/>
    </row>
    <row r="7" spans="1:8" x14ac:dyDescent="0.3">
      <c r="A7" s="251"/>
      <c r="B7" s="251"/>
      <c r="C7" s="251"/>
      <c r="D7" s="251"/>
      <c r="E7" s="251"/>
      <c r="F7" s="251"/>
    </row>
    <row r="8" spans="1:8" ht="15.6" x14ac:dyDescent="0.3">
      <c r="A8" s="50"/>
      <c r="B8" s="50"/>
      <c r="C8" s="50"/>
      <c r="D8" s="250" t="str">
        <f>"Valor porcental por periodo: " &amp; Principal!G7 &amp; "%"</f>
        <v>Valor porcental por periodo: 0%</v>
      </c>
      <c r="E8" s="250"/>
      <c r="F8" s="250"/>
    </row>
    <row r="9" spans="1:8" x14ac:dyDescent="0.3">
      <c r="A9" s="50"/>
      <c r="B9" s="50"/>
      <c r="C9" s="50"/>
      <c r="D9" s="127"/>
      <c r="E9" s="156"/>
      <c r="F9" s="156"/>
    </row>
    <row r="10" spans="1:8" ht="15" x14ac:dyDescent="0.3">
      <c r="A10" s="31" t="s">
        <v>0</v>
      </c>
      <c r="B10" s="31" t="s">
        <v>1</v>
      </c>
      <c r="C10" s="31" t="s">
        <v>2</v>
      </c>
      <c r="D10" s="128" t="s">
        <v>3</v>
      </c>
      <c r="E10" s="157" t="s">
        <v>40</v>
      </c>
      <c r="F10" s="157" t="s">
        <v>46</v>
      </c>
    </row>
    <row r="11" spans="1:8" ht="15" x14ac:dyDescent="0.3">
      <c r="A11" s="24" t="s">
        <v>268</v>
      </c>
      <c r="B11" s="24" t="s">
        <v>269</v>
      </c>
      <c r="C11" s="24" t="s">
        <v>270</v>
      </c>
      <c r="D11" s="125">
        <v>209070147</v>
      </c>
      <c r="E11" s="154"/>
      <c r="F11" s="154"/>
    </row>
    <row r="12" spans="1:8" ht="15" x14ac:dyDescent="0.3">
      <c r="A12" s="24" t="s">
        <v>268</v>
      </c>
      <c r="B12" s="24" t="s">
        <v>267</v>
      </c>
      <c r="C12" s="24" t="s">
        <v>271</v>
      </c>
      <c r="D12" s="125">
        <v>209040532</v>
      </c>
      <c r="E12" s="154"/>
      <c r="F12" s="154"/>
    </row>
    <row r="13" spans="1:8" ht="15" x14ac:dyDescent="0.3">
      <c r="A13" s="24" t="s">
        <v>272</v>
      </c>
      <c r="B13" s="24" t="s">
        <v>273</v>
      </c>
      <c r="C13" s="24" t="s">
        <v>274</v>
      </c>
      <c r="D13" s="125">
        <v>120100787</v>
      </c>
      <c r="E13" s="154"/>
      <c r="F13" s="154"/>
      <c r="H13" s="51"/>
    </row>
    <row r="14" spans="1:8" ht="15" x14ac:dyDescent="0.3">
      <c r="A14" s="24" t="s">
        <v>275</v>
      </c>
      <c r="B14" s="24" t="s">
        <v>276</v>
      </c>
      <c r="C14" s="24" t="s">
        <v>277</v>
      </c>
      <c r="D14" s="125">
        <v>209010382</v>
      </c>
      <c r="E14" s="154"/>
      <c r="F14" s="154"/>
      <c r="G14" s="51"/>
    </row>
    <row r="15" spans="1:8" ht="15" x14ac:dyDescent="0.3">
      <c r="A15" s="24" t="s">
        <v>275</v>
      </c>
      <c r="B15" s="24" t="s">
        <v>278</v>
      </c>
      <c r="C15" s="24" t="s">
        <v>279</v>
      </c>
      <c r="D15" s="125">
        <v>209050852</v>
      </c>
      <c r="E15" s="154"/>
      <c r="F15" s="154"/>
    </row>
    <row r="16" spans="1:8" ht="15" x14ac:dyDescent="0.3">
      <c r="A16" s="24" t="s">
        <v>280</v>
      </c>
      <c r="B16" s="24" t="s">
        <v>281</v>
      </c>
      <c r="C16" s="24" t="s">
        <v>282</v>
      </c>
      <c r="D16" s="125">
        <v>209050481</v>
      </c>
      <c r="E16" s="154"/>
      <c r="F16" s="154"/>
    </row>
    <row r="17" spans="1:6" ht="15" x14ac:dyDescent="0.3">
      <c r="A17" s="24" t="s">
        <v>283</v>
      </c>
      <c r="B17" s="24" t="s">
        <v>284</v>
      </c>
      <c r="C17" s="24" t="s">
        <v>285</v>
      </c>
      <c r="D17" s="125">
        <v>208910947</v>
      </c>
      <c r="E17" s="154"/>
      <c r="F17" s="154"/>
    </row>
    <row r="18" spans="1:6" ht="15" x14ac:dyDescent="0.3">
      <c r="A18" s="24" t="s">
        <v>286</v>
      </c>
      <c r="B18" s="24" t="s">
        <v>287</v>
      </c>
      <c r="C18" s="24" t="s">
        <v>288</v>
      </c>
      <c r="D18" s="125">
        <v>209100689</v>
      </c>
      <c r="E18" s="154"/>
      <c r="F18" s="154"/>
    </row>
    <row r="19" spans="1:6" ht="15" x14ac:dyDescent="0.3">
      <c r="A19" s="24" t="s">
        <v>289</v>
      </c>
      <c r="B19" s="24" t="s">
        <v>290</v>
      </c>
      <c r="C19" s="24" t="s">
        <v>291</v>
      </c>
      <c r="D19" s="125">
        <v>209060003</v>
      </c>
      <c r="E19" s="154"/>
      <c r="F19" s="154"/>
    </row>
    <row r="20" spans="1:6" ht="15" x14ac:dyDescent="0.3">
      <c r="A20" s="24" t="s">
        <v>292</v>
      </c>
      <c r="B20" s="24" t="s">
        <v>293</v>
      </c>
      <c r="C20" s="24" t="s">
        <v>294</v>
      </c>
      <c r="D20" s="125">
        <v>208980531</v>
      </c>
      <c r="E20" s="154"/>
      <c r="F20" s="154"/>
    </row>
    <row r="21" spans="1:6" ht="15" x14ac:dyDescent="0.3">
      <c r="A21" s="24" t="s">
        <v>295</v>
      </c>
      <c r="B21" s="24" t="s">
        <v>296</v>
      </c>
      <c r="C21" s="24" t="s">
        <v>297</v>
      </c>
      <c r="D21" s="125">
        <v>208990532</v>
      </c>
      <c r="E21" s="154"/>
      <c r="F21" s="154"/>
    </row>
    <row r="22" spans="1:6" ht="15" x14ac:dyDescent="0.3">
      <c r="A22" s="24" t="s">
        <v>298</v>
      </c>
      <c r="B22" s="24" t="s">
        <v>292</v>
      </c>
      <c r="C22" s="24" t="s">
        <v>299</v>
      </c>
      <c r="D22" s="125">
        <v>209040294</v>
      </c>
      <c r="E22" s="154"/>
      <c r="F22" s="154"/>
    </row>
    <row r="23" spans="1:6" ht="15" x14ac:dyDescent="0.3">
      <c r="A23" s="24" t="s">
        <v>266</v>
      </c>
      <c r="B23" s="24" t="s">
        <v>300</v>
      </c>
      <c r="C23" s="24" t="s">
        <v>301</v>
      </c>
      <c r="D23" s="125">
        <v>209020129</v>
      </c>
      <c r="E23" s="154"/>
      <c r="F23" s="154"/>
    </row>
    <row r="24" spans="1:6" ht="15" x14ac:dyDescent="0.3">
      <c r="A24" s="24" t="s">
        <v>287</v>
      </c>
      <c r="B24" s="24" t="s">
        <v>302</v>
      </c>
      <c r="C24" s="24" t="s">
        <v>303</v>
      </c>
      <c r="D24" s="125">
        <v>208980881</v>
      </c>
      <c r="E24" s="154"/>
      <c r="F24" s="154"/>
    </row>
    <row r="25" spans="1:6" ht="15" x14ac:dyDescent="0.3">
      <c r="A25" s="24" t="s">
        <v>304</v>
      </c>
      <c r="B25" s="24" t="s">
        <v>295</v>
      </c>
      <c r="C25" s="24" t="s">
        <v>305</v>
      </c>
      <c r="D25" s="125">
        <v>120280412</v>
      </c>
      <c r="E25" s="154"/>
      <c r="F25" s="154"/>
    </row>
    <row r="26" spans="1:6" ht="15.6" x14ac:dyDescent="0.3">
      <c r="A26" s="3"/>
      <c r="B26" s="3"/>
      <c r="C26" s="3"/>
      <c r="D26" s="129"/>
    </row>
    <row r="27" spans="1:6" ht="15.6" x14ac:dyDescent="0.3">
      <c r="A27" s="3"/>
      <c r="B27" s="3"/>
      <c r="C27" s="3"/>
      <c r="D27" s="129"/>
    </row>
    <row r="28" spans="1:6" ht="15.6" x14ac:dyDescent="0.3">
      <c r="A28" s="3"/>
      <c r="B28" s="3"/>
      <c r="C28" s="3"/>
      <c r="D28" s="129"/>
    </row>
  </sheetData>
  <sheetProtection selectLockedCells="1" selectUnlockedCells="1"/>
  <mergeCells count="2">
    <mergeCell ref="A3:F7"/>
    <mergeCell ref="D8:F8"/>
  </mergeCells>
  <phoneticPr fontId="16" type="noConversion"/>
  <hyperlinks>
    <hyperlink ref="A1" location="Principal!A1" display="Volver a principal" xr:uid="{4F997F71-9A44-4055-99AA-C209C463DD76}"/>
    <hyperlink ref="B1" location="Tareas!A1" display="Ir a Tareas" xr:uid="{46BB792C-3478-4D71-9253-ADF277153864}"/>
    <hyperlink ref="C1" location="Evaluaciones!A1" display="Ir a Evaluaciones" xr:uid="{519C3029-6B46-46F3-8736-0E5114CBA935}"/>
    <hyperlink ref="E1" location="Indicadores!A1" display="Ir a Indicadores" xr:uid="{6E27CA99-F1F0-4E3E-BDD9-4F9E20625618}"/>
    <hyperlink ref="D1" location="Proyectos!A1" display="Ir a Proyectos" xr:uid="{330F400D-15DB-4EC7-A9E6-C782CBFEBD90}"/>
  </hyperlinks>
  <pageMargins left="0.7" right="0.7" top="0.75" bottom="0.75" header="0.3" footer="0.3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2">
        <x14:dataValidation type="decimal" showInputMessage="1" showErrorMessage="1" errorTitle="Error" error="El valor agregado no puede ser mayor que el porcentaje asignado a Portafolio." xr:uid="{765155B4-446C-4041-8B27-DE1B13CC1298}">
          <x14:formula1>
            <xm:f>0</xm:f>
          </x14:formula1>
          <x14:formula2>
            <xm:f>Principal!$G$7</xm:f>
          </x14:formula2>
          <xm:sqref>E1 A8 E26:E1048576</xm:sqref>
        </x14:dataValidation>
        <x14:dataValidation type="decimal" showInputMessage="1" showErrorMessage="1" errorTitle="Error." error="El valor agregado no puede ser mayor al porcentaje asigando a Portafolio._x000a_" xr:uid="{C6D19326-3A6F-4103-9C37-F178F14EF0AA}">
          <x14:formula1>
            <xm:f>0</xm:f>
          </x14:formula1>
          <x14:formula2>
            <xm:f>Principal!$G$7</xm:f>
          </x14:formula2>
          <xm:sqref>F2 F26:F1048576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EA3AE5-BF57-4F18-AE43-B7C9315EC63F}">
  <sheetPr codeName="Hoja10">
    <tabColor theme="9"/>
  </sheetPr>
  <dimension ref="A1:FN30"/>
  <sheetViews>
    <sheetView showGridLines="0" zoomScale="80" zoomScaleNormal="80" workbookViewId="0">
      <pane xSplit="8" ySplit="12" topLeftCell="BM13" activePane="bottomRight" state="frozen"/>
      <selection pane="topRight" activeCell="I1" sqref="I1"/>
      <selection pane="bottomLeft" activeCell="A13" sqref="A13"/>
      <selection pane="bottomRight" activeCell="CH9" sqref="CH9:CH11"/>
    </sheetView>
  </sheetViews>
  <sheetFormatPr baseColWidth="10" defaultColWidth="8.77734375" defaultRowHeight="13.8" x14ac:dyDescent="0.3"/>
  <cols>
    <col min="1" max="2" width="20.77734375" style="32" customWidth="1"/>
    <col min="3" max="3" width="28.109375" style="32" customWidth="1"/>
    <col min="4" max="4" width="22.33203125" style="32" customWidth="1"/>
    <col min="5" max="5" width="3.77734375" style="33" customWidth="1"/>
    <col min="6" max="9" width="3.77734375" style="32" customWidth="1"/>
    <col min="10" max="10" width="5.77734375" style="32" customWidth="1"/>
    <col min="11" max="12" width="3.77734375" style="32" customWidth="1"/>
    <col min="13" max="13" width="7" style="32" customWidth="1"/>
    <col min="14" max="16" width="13.77734375" style="32" customWidth="1"/>
    <col min="17" max="21" width="3.77734375" style="32" customWidth="1"/>
    <col min="22" max="24" width="13.77734375" style="32" customWidth="1"/>
    <col min="25" max="29" width="3.77734375" style="32" customWidth="1"/>
    <col min="30" max="32" width="13.77734375" style="32" customWidth="1"/>
    <col min="33" max="37" width="3.77734375" style="32" customWidth="1"/>
    <col min="38" max="40" width="13.77734375" style="32" customWidth="1"/>
    <col min="41" max="45" width="3.77734375" style="32" customWidth="1"/>
    <col min="46" max="48" width="13.77734375" style="32" customWidth="1"/>
    <col min="49" max="53" width="3.77734375" style="32" customWidth="1"/>
    <col min="54" max="56" width="13.77734375" style="32" customWidth="1"/>
    <col min="57" max="61" width="3.77734375" style="32" customWidth="1"/>
    <col min="62" max="64" width="13.77734375" style="32" customWidth="1"/>
    <col min="65" max="69" width="3.77734375" style="32" customWidth="1"/>
    <col min="70" max="72" width="13.77734375" style="32" customWidth="1"/>
    <col min="73" max="77" width="3.77734375" style="32" customWidth="1"/>
    <col min="78" max="80" width="13.77734375" style="32" customWidth="1"/>
    <col min="81" max="85" width="3.77734375" style="32" customWidth="1"/>
    <col min="86" max="88" width="13.77734375" style="32" customWidth="1"/>
    <col min="89" max="93" width="3.77734375" style="32" customWidth="1"/>
    <col min="94" max="96" width="13.77734375" style="32" customWidth="1"/>
    <col min="97" max="101" width="3.77734375" style="32" customWidth="1"/>
    <col min="102" max="104" width="13.77734375" style="32" customWidth="1"/>
    <col min="105" max="109" width="3.77734375" style="32" customWidth="1"/>
    <col min="110" max="112" width="13.77734375" style="32" customWidth="1"/>
    <col min="113" max="117" width="3.77734375" style="32" customWidth="1"/>
    <col min="118" max="120" width="13.77734375" style="32" customWidth="1"/>
    <col min="121" max="125" width="3.77734375" style="32" customWidth="1"/>
    <col min="126" max="128" width="13.77734375" style="32" customWidth="1"/>
    <col min="129" max="133" width="3.77734375" style="32" customWidth="1"/>
    <col min="134" max="136" width="13.77734375" style="32" customWidth="1"/>
    <col min="137" max="141" width="3.77734375" style="32" customWidth="1"/>
    <col min="142" max="144" width="13.77734375" style="32" customWidth="1"/>
    <col min="145" max="149" width="3.77734375" style="32" customWidth="1"/>
    <col min="150" max="152" width="13.77734375" style="32" customWidth="1"/>
    <col min="153" max="157" width="3.77734375" style="32" customWidth="1"/>
    <col min="158" max="160" width="13.77734375" style="32" customWidth="1"/>
    <col min="161" max="165" width="3.77734375" style="32" customWidth="1"/>
    <col min="166" max="168" width="13.77734375" style="32" customWidth="1"/>
    <col min="169" max="169" width="10.44140625" style="44" customWidth="1"/>
    <col min="170" max="171" width="8.77734375" style="44"/>
    <col min="172" max="172" width="13.77734375" style="44" customWidth="1"/>
    <col min="173" max="16384" width="8.77734375" style="44"/>
  </cols>
  <sheetData>
    <row r="1" spans="1:170" ht="28.2" customHeight="1" x14ac:dyDescent="0.3">
      <c r="A1" s="52" t="s">
        <v>240</v>
      </c>
      <c r="B1" s="53" t="s">
        <v>235</v>
      </c>
      <c r="C1" s="54" t="s">
        <v>236</v>
      </c>
      <c r="D1" s="55" t="s">
        <v>237</v>
      </c>
      <c r="E1" s="236" t="s">
        <v>242</v>
      </c>
      <c r="F1" s="237"/>
      <c r="G1" s="237"/>
      <c r="H1" s="237"/>
      <c r="I1" s="237"/>
      <c r="J1" s="237"/>
      <c r="K1" s="234" t="s">
        <v>241</v>
      </c>
      <c r="L1" s="235"/>
      <c r="M1" s="235"/>
      <c r="N1" s="235"/>
      <c r="O1" s="44"/>
      <c r="P1" s="44"/>
      <c r="Q1" s="44"/>
      <c r="R1" s="44"/>
      <c r="S1" s="44"/>
      <c r="T1" s="44"/>
      <c r="U1" s="44"/>
      <c r="V1" s="44"/>
      <c r="W1" s="44"/>
      <c r="X1" s="44"/>
      <c r="Y1" s="44"/>
      <c r="Z1" s="44"/>
      <c r="AA1" s="44"/>
      <c r="AB1" s="44"/>
      <c r="AC1" s="44"/>
      <c r="AD1" s="44"/>
      <c r="AE1" s="44"/>
      <c r="AF1" s="44"/>
      <c r="AG1" s="44"/>
      <c r="AH1" s="44"/>
      <c r="AI1" s="44"/>
      <c r="AJ1" s="44"/>
      <c r="AK1" s="44"/>
      <c r="AL1" s="44"/>
      <c r="AM1" s="44"/>
      <c r="AN1" s="44"/>
      <c r="AO1" s="44"/>
      <c r="AP1" s="44"/>
      <c r="AQ1" s="44"/>
      <c r="AR1" s="44"/>
      <c r="AS1" s="44"/>
      <c r="AT1" s="44"/>
      <c r="AU1" s="44"/>
      <c r="AV1" s="44"/>
      <c r="AW1" s="44"/>
      <c r="AX1" s="44"/>
      <c r="AY1" s="44"/>
      <c r="AZ1" s="44"/>
      <c r="BA1" s="44"/>
      <c r="BB1" s="44"/>
      <c r="BC1" s="44"/>
      <c r="BD1" s="44"/>
      <c r="BE1" s="44"/>
      <c r="BF1" s="44"/>
      <c r="BG1" s="44"/>
      <c r="BH1" s="44"/>
      <c r="BI1" s="44"/>
      <c r="BJ1" s="44"/>
      <c r="BK1" s="44"/>
      <c r="BL1" s="44"/>
      <c r="BM1" s="44"/>
      <c r="BN1" s="44"/>
      <c r="BO1" s="44"/>
      <c r="BP1" s="44"/>
      <c r="BQ1" s="44"/>
      <c r="BR1" s="44"/>
      <c r="BS1" s="44"/>
      <c r="BT1" s="44"/>
      <c r="BU1" s="44"/>
      <c r="BV1" s="44"/>
      <c r="BW1" s="44"/>
      <c r="BX1" s="44"/>
      <c r="BY1" s="44"/>
      <c r="BZ1" s="44"/>
      <c r="CA1" s="44"/>
      <c r="CB1" s="44"/>
      <c r="CC1" s="44"/>
      <c r="CD1" s="44"/>
      <c r="CE1" s="44"/>
      <c r="CF1" s="44"/>
      <c r="CG1" s="44"/>
      <c r="CH1" s="44"/>
      <c r="CI1" s="44"/>
      <c r="CJ1" s="44"/>
      <c r="CK1" s="44"/>
      <c r="CL1" s="44"/>
      <c r="CM1" s="44"/>
      <c r="CN1" s="44"/>
      <c r="CO1" s="44"/>
      <c r="CP1" s="44"/>
      <c r="CQ1" s="44"/>
      <c r="CR1" s="44"/>
      <c r="CS1" s="44"/>
      <c r="CT1" s="44"/>
      <c r="CU1" s="44"/>
      <c r="CV1" s="44"/>
      <c r="CW1" s="44"/>
      <c r="CX1" s="44"/>
      <c r="CY1" s="44"/>
      <c r="CZ1" s="44"/>
      <c r="DA1" s="44"/>
      <c r="DB1" s="44"/>
      <c r="DC1" s="44"/>
      <c r="DD1" s="44"/>
      <c r="DE1" s="44"/>
      <c r="DF1" s="44"/>
      <c r="DG1" s="44"/>
      <c r="DH1" s="44"/>
      <c r="DI1" s="44"/>
      <c r="DJ1" s="44"/>
      <c r="DK1" s="44"/>
      <c r="DL1" s="44"/>
      <c r="DM1" s="44"/>
      <c r="DN1" s="44"/>
      <c r="DO1" s="44"/>
      <c r="DP1" s="44"/>
      <c r="DQ1" s="44"/>
      <c r="DR1" s="44"/>
      <c r="DS1" s="44"/>
      <c r="DT1" s="44"/>
      <c r="DU1" s="44"/>
      <c r="DV1" s="44"/>
      <c r="DW1" s="44"/>
      <c r="DX1" s="44"/>
      <c r="DY1" s="44"/>
      <c r="DZ1" s="44"/>
      <c r="EA1" s="44"/>
      <c r="EB1" s="44"/>
      <c r="EC1" s="44"/>
      <c r="ED1" s="44"/>
      <c r="EE1" s="44"/>
      <c r="EF1" s="44"/>
      <c r="EG1" s="44"/>
      <c r="EH1" s="44"/>
      <c r="EI1" s="44"/>
      <c r="EJ1" s="44"/>
      <c r="EK1" s="44"/>
      <c r="EL1" s="44"/>
      <c r="EM1" s="44"/>
      <c r="EN1" s="44"/>
      <c r="EO1" s="44"/>
      <c r="EP1" s="44"/>
      <c r="EQ1" s="44"/>
      <c r="ER1" s="44"/>
      <c r="ES1" s="44"/>
      <c r="ET1" s="44"/>
      <c r="EU1" s="44"/>
      <c r="EV1" s="44"/>
      <c r="EW1" s="44"/>
      <c r="EX1" s="44"/>
      <c r="EY1" s="44"/>
      <c r="EZ1" s="44"/>
      <c r="FA1" s="44"/>
      <c r="FB1" s="44"/>
      <c r="FC1" s="44"/>
      <c r="FD1" s="44"/>
      <c r="FE1" s="44"/>
      <c r="FF1" s="44"/>
      <c r="FG1" s="44"/>
      <c r="FH1" s="44"/>
      <c r="FI1" s="44"/>
      <c r="FJ1" s="44"/>
      <c r="FK1" s="44"/>
      <c r="FL1" s="44"/>
    </row>
    <row r="2" spans="1:170" x14ac:dyDescent="0.3">
      <c r="A2" s="44"/>
      <c r="B2" s="44"/>
      <c r="C2" s="44"/>
      <c r="D2" s="44"/>
      <c r="E2" s="49"/>
      <c r="F2" s="44"/>
      <c r="G2" s="44"/>
      <c r="H2" s="44"/>
      <c r="I2" s="44"/>
      <c r="J2" s="44"/>
      <c r="K2" s="44"/>
      <c r="L2" s="44"/>
      <c r="M2" s="44"/>
      <c r="N2" s="44"/>
      <c r="O2" s="44"/>
      <c r="P2" s="44"/>
      <c r="Q2" s="44"/>
      <c r="R2" s="44"/>
      <c r="S2" s="44"/>
      <c r="T2" s="44"/>
      <c r="U2" s="44"/>
      <c r="V2" s="44"/>
      <c r="W2" s="44"/>
      <c r="X2" s="44"/>
      <c r="Y2" s="44"/>
      <c r="Z2" s="44"/>
      <c r="AA2" s="44"/>
      <c r="AB2" s="44"/>
      <c r="AC2" s="44"/>
      <c r="AD2" s="44"/>
      <c r="AE2" s="44"/>
      <c r="AF2" s="44"/>
      <c r="AG2" s="44"/>
      <c r="AH2" s="44"/>
      <c r="AI2" s="44"/>
      <c r="AJ2" s="44"/>
      <c r="AK2" s="44"/>
      <c r="AL2" s="44"/>
      <c r="AM2" s="44"/>
      <c r="AN2" s="44"/>
      <c r="AO2" s="44"/>
      <c r="AP2" s="44"/>
      <c r="AQ2" s="44"/>
      <c r="AR2" s="44"/>
      <c r="AS2" s="44"/>
      <c r="AT2" s="44"/>
      <c r="AU2" s="44"/>
      <c r="AV2" s="44"/>
      <c r="AW2" s="44"/>
      <c r="AX2" s="44"/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44"/>
      <c r="BJ2" s="44"/>
      <c r="BK2" s="44"/>
      <c r="BL2" s="44"/>
      <c r="BM2" s="44"/>
      <c r="BN2" s="44"/>
      <c r="BO2" s="44"/>
      <c r="BP2" s="44"/>
      <c r="BQ2" s="44"/>
      <c r="BR2" s="44"/>
      <c r="BS2" s="44"/>
      <c r="BT2" s="44"/>
      <c r="BU2" s="44"/>
      <c r="BV2" s="44"/>
      <c r="BW2" s="44"/>
      <c r="BX2" s="44"/>
      <c r="BY2" s="44"/>
      <c r="BZ2" s="44"/>
      <c r="CA2" s="44"/>
      <c r="CB2" s="44"/>
      <c r="CC2" s="44"/>
      <c r="CD2" s="44"/>
      <c r="CE2" s="44"/>
      <c r="CF2" s="44"/>
      <c r="CG2" s="44"/>
      <c r="CH2" s="44"/>
      <c r="CI2" s="44"/>
      <c r="CJ2" s="44"/>
      <c r="CK2" s="44"/>
      <c r="CL2" s="44"/>
      <c r="CM2" s="44"/>
      <c r="CN2" s="44"/>
      <c r="CO2" s="44"/>
      <c r="CP2" s="44"/>
      <c r="CQ2" s="44"/>
      <c r="CR2" s="44"/>
      <c r="CS2" s="44"/>
      <c r="CT2" s="44"/>
      <c r="CU2" s="44"/>
      <c r="CV2" s="44"/>
      <c r="CW2" s="44"/>
      <c r="CX2" s="44"/>
      <c r="CY2" s="44"/>
      <c r="CZ2" s="44"/>
      <c r="DA2" s="44"/>
      <c r="DB2" s="44"/>
      <c r="DC2" s="44"/>
      <c r="DD2" s="44"/>
      <c r="DE2" s="44"/>
      <c r="DF2" s="44"/>
      <c r="DG2" s="44"/>
      <c r="DH2" s="44"/>
      <c r="DI2" s="44"/>
      <c r="DJ2" s="44"/>
      <c r="DK2" s="44"/>
      <c r="DL2" s="44"/>
      <c r="DM2" s="44"/>
      <c r="DN2" s="44"/>
      <c r="DO2" s="44"/>
      <c r="DP2" s="44"/>
      <c r="DQ2" s="44"/>
      <c r="DR2" s="44"/>
      <c r="DS2" s="44"/>
      <c r="DT2" s="44"/>
      <c r="DU2" s="44"/>
      <c r="DV2" s="44"/>
      <c r="DW2" s="44"/>
      <c r="DX2" s="44"/>
      <c r="DY2" s="44"/>
      <c r="DZ2" s="44"/>
      <c r="EA2" s="44"/>
      <c r="EB2" s="44"/>
      <c r="EC2" s="44"/>
      <c r="ED2" s="44"/>
      <c r="EE2" s="44"/>
      <c r="EF2" s="44"/>
      <c r="EG2" s="44"/>
      <c r="EH2" s="44"/>
      <c r="EI2" s="44"/>
      <c r="EJ2" s="44"/>
      <c r="EK2" s="44"/>
      <c r="EL2" s="44"/>
      <c r="EM2" s="44"/>
      <c r="EN2" s="44"/>
      <c r="EO2" s="44"/>
      <c r="EP2" s="44"/>
      <c r="EQ2" s="44"/>
      <c r="ER2" s="44"/>
      <c r="ES2" s="44"/>
      <c r="ET2" s="44"/>
      <c r="EU2" s="44"/>
      <c r="EV2" s="44"/>
      <c r="EW2" s="44"/>
      <c r="EX2" s="44"/>
      <c r="EY2" s="44"/>
      <c r="EZ2" s="44"/>
      <c r="FA2" s="44"/>
      <c r="FB2" s="44"/>
      <c r="FC2" s="44"/>
      <c r="FD2" s="44"/>
      <c r="FE2" s="44"/>
      <c r="FF2" s="44"/>
      <c r="FG2" s="44"/>
      <c r="FH2" s="44"/>
      <c r="FI2" s="44"/>
      <c r="FJ2" s="44"/>
      <c r="FK2" s="44"/>
      <c r="FL2" s="44"/>
    </row>
    <row r="3" spans="1:170" x14ac:dyDescent="0.3">
      <c r="A3" s="44"/>
      <c r="B3" s="44"/>
      <c r="C3" s="44"/>
      <c r="D3" s="44"/>
      <c r="E3" s="49"/>
      <c r="F3" s="44"/>
      <c r="G3" s="44"/>
      <c r="H3" s="44"/>
      <c r="I3" s="44"/>
      <c r="J3" s="44"/>
      <c r="K3" s="44"/>
      <c r="L3" s="44"/>
      <c r="M3" s="44"/>
      <c r="N3" s="44"/>
      <c r="O3" s="94"/>
      <c r="P3" s="44"/>
      <c r="Q3" s="44"/>
      <c r="R3" s="44"/>
      <c r="S3" s="44"/>
      <c r="T3" s="44"/>
      <c r="U3" s="44"/>
      <c r="V3" s="44"/>
      <c r="W3" s="44"/>
      <c r="X3" s="44"/>
      <c r="Y3" s="44"/>
      <c r="Z3" s="44"/>
      <c r="AA3" s="44"/>
      <c r="AB3" s="44"/>
      <c r="AC3" s="44"/>
      <c r="AD3" s="44"/>
      <c r="AE3" s="44"/>
      <c r="AF3" s="44"/>
      <c r="AG3" s="44"/>
      <c r="AH3" s="44"/>
      <c r="AI3" s="44"/>
      <c r="AJ3" s="44"/>
      <c r="AK3" s="44"/>
      <c r="AL3" s="44"/>
      <c r="AM3" s="44"/>
      <c r="AN3" s="44"/>
      <c r="AO3" s="44"/>
      <c r="AP3" s="44"/>
      <c r="AQ3" s="44"/>
      <c r="AR3" s="44"/>
      <c r="AS3" s="44"/>
      <c r="AT3" s="44"/>
      <c r="AU3" s="44"/>
      <c r="AV3" s="44"/>
      <c r="AW3" s="44"/>
      <c r="AX3" s="44"/>
      <c r="AY3" s="44"/>
      <c r="AZ3" s="44"/>
      <c r="BA3" s="44"/>
      <c r="BB3" s="44"/>
      <c r="BC3" s="44"/>
      <c r="BD3" s="44"/>
      <c r="BE3" s="44"/>
      <c r="BF3" s="44"/>
      <c r="BG3" s="44"/>
      <c r="BH3" s="44"/>
      <c r="BI3" s="44"/>
      <c r="BJ3" s="44"/>
      <c r="BK3" s="44"/>
      <c r="BL3" s="44"/>
      <c r="BM3" s="44"/>
      <c r="BN3" s="44"/>
      <c r="BO3" s="44"/>
      <c r="BP3" s="44"/>
      <c r="BQ3" s="44"/>
      <c r="BR3" s="44"/>
      <c r="BS3" s="44"/>
      <c r="BT3" s="44"/>
      <c r="BU3" s="44"/>
      <c r="BV3" s="44"/>
      <c r="BW3" s="44"/>
      <c r="BX3" s="44"/>
      <c r="BY3" s="44"/>
      <c r="BZ3" s="44"/>
      <c r="CA3" s="44"/>
      <c r="CB3" s="44"/>
      <c r="CC3" s="44"/>
      <c r="CD3" s="44"/>
      <c r="CE3" s="44"/>
      <c r="CF3" s="44"/>
      <c r="CG3" s="44"/>
      <c r="CH3" s="44"/>
      <c r="CI3" s="44"/>
      <c r="CJ3" s="44"/>
      <c r="CK3" s="44"/>
      <c r="CL3" s="44"/>
      <c r="CM3" s="44"/>
      <c r="CN3" s="44"/>
      <c r="CO3" s="44"/>
      <c r="CP3" s="44"/>
      <c r="CQ3" s="44"/>
      <c r="CR3" s="44"/>
      <c r="CS3" s="44"/>
      <c r="CT3" s="44"/>
      <c r="CU3" s="44"/>
      <c r="CV3" s="44"/>
      <c r="CW3" s="44"/>
      <c r="CX3" s="44"/>
      <c r="CY3" s="44"/>
      <c r="CZ3" s="44"/>
      <c r="DA3" s="44"/>
      <c r="DB3" s="44"/>
      <c r="DC3" s="44"/>
      <c r="DD3" s="44"/>
      <c r="DE3" s="44"/>
      <c r="DF3" s="44"/>
      <c r="DG3" s="44"/>
      <c r="DH3" s="44"/>
      <c r="DI3" s="44"/>
      <c r="DJ3" s="44"/>
      <c r="DK3" s="44"/>
      <c r="DL3" s="44"/>
      <c r="DM3" s="44"/>
      <c r="DN3" s="44"/>
      <c r="DO3" s="44"/>
      <c r="DP3" s="44"/>
      <c r="DQ3" s="44"/>
      <c r="DR3" s="44"/>
      <c r="DS3" s="44"/>
      <c r="DT3" s="44"/>
      <c r="DU3" s="44"/>
      <c r="DV3" s="44"/>
      <c r="DW3" s="44"/>
      <c r="DX3" s="44"/>
      <c r="DY3" s="44"/>
      <c r="DZ3" s="44"/>
      <c r="EA3" s="44"/>
      <c r="EB3" s="44"/>
      <c r="EC3" s="44"/>
      <c r="ED3" s="44"/>
      <c r="EE3" s="44"/>
      <c r="EF3" s="44"/>
      <c r="EG3" s="44"/>
      <c r="EH3" s="44"/>
      <c r="EI3" s="44"/>
      <c r="EJ3" s="44"/>
      <c r="EK3" s="44"/>
      <c r="EL3" s="44"/>
      <c r="EM3" s="44"/>
      <c r="EN3" s="44"/>
      <c r="EO3" s="44"/>
      <c r="EP3" s="44"/>
      <c r="EQ3" s="44"/>
      <c r="ER3" s="44"/>
      <c r="ES3" s="44"/>
      <c r="ET3" s="44"/>
      <c r="EU3" s="44"/>
      <c r="EV3" s="44"/>
      <c r="EW3" s="44"/>
      <c r="EX3" s="44"/>
      <c r="EY3" s="44"/>
      <c r="EZ3" s="44"/>
      <c r="FA3" s="44"/>
      <c r="FB3" s="44"/>
      <c r="FC3" s="44"/>
      <c r="FD3" s="44"/>
      <c r="FE3" s="44"/>
      <c r="FF3" s="44"/>
      <c r="FG3" s="44"/>
      <c r="FH3" s="44"/>
      <c r="FI3" s="44"/>
      <c r="FJ3" s="44"/>
      <c r="FK3" s="44"/>
      <c r="FL3" s="44"/>
    </row>
    <row r="4" spans="1:170" x14ac:dyDescent="0.3">
      <c r="A4" s="44"/>
      <c r="B4" s="44" t="str">
        <f ca="1">IFERROR(BUSCARX(A4,Principal!D:D,Principal!C:C),"")</f>
        <v/>
      </c>
      <c r="C4" s="44"/>
      <c r="D4" s="44"/>
      <c r="E4" s="49"/>
      <c r="F4" s="44"/>
      <c r="G4" s="44"/>
      <c r="H4" s="44"/>
      <c r="I4" s="44"/>
      <c r="J4" s="44"/>
      <c r="K4" s="44"/>
      <c r="L4" s="44"/>
      <c r="M4" s="44"/>
      <c r="N4" s="44"/>
      <c r="O4" s="44"/>
      <c r="P4" s="44"/>
      <c r="Q4" s="44"/>
      <c r="R4" s="44"/>
      <c r="S4" s="44"/>
      <c r="T4" s="44"/>
      <c r="U4" s="44"/>
      <c r="V4" s="44"/>
      <c r="W4" s="44"/>
      <c r="X4" s="44"/>
      <c r="Y4" s="44"/>
      <c r="Z4" s="44"/>
      <c r="AA4" s="44"/>
      <c r="AB4" s="44"/>
      <c r="AC4" s="44"/>
      <c r="AD4" s="44"/>
      <c r="AE4" s="44"/>
      <c r="AF4" s="44"/>
      <c r="AG4" s="44"/>
      <c r="AH4" s="44"/>
      <c r="AI4" s="44"/>
      <c r="AJ4" s="44"/>
      <c r="AK4" s="44"/>
      <c r="AL4" s="44"/>
      <c r="AM4" s="44"/>
      <c r="AN4" s="44"/>
      <c r="AO4" s="44"/>
      <c r="AP4" s="44"/>
      <c r="AQ4" s="44"/>
      <c r="AR4" s="44"/>
      <c r="AS4" s="44"/>
      <c r="AT4" s="44"/>
      <c r="AU4" s="44"/>
      <c r="AV4" s="44"/>
      <c r="AW4" s="44"/>
      <c r="AX4" s="44"/>
      <c r="AY4" s="44"/>
      <c r="AZ4" s="44"/>
      <c r="BA4" s="44"/>
      <c r="BB4" s="44"/>
      <c r="BC4" s="44"/>
      <c r="BD4" s="44"/>
      <c r="BE4" s="44"/>
      <c r="BF4" s="44"/>
      <c r="BG4" s="44"/>
      <c r="BH4" s="44"/>
      <c r="BI4" s="44"/>
      <c r="BJ4" s="44"/>
      <c r="BK4" s="44"/>
      <c r="BL4" s="44"/>
      <c r="BM4" s="44"/>
      <c r="BN4" s="44"/>
      <c r="BO4" s="44"/>
      <c r="BP4" s="44"/>
      <c r="BQ4" s="44"/>
      <c r="BR4" s="44"/>
      <c r="BS4" s="44"/>
      <c r="BT4" s="44"/>
      <c r="BU4" s="44"/>
      <c r="BV4" s="44"/>
      <c r="BW4" s="44"/>
      <c r="BX4" s="44"/>
      <c r="BY4" s="44"/>
      <c r="BZ4" s="44"/>
      <c r="CA4" s="44"/>
      <c r="CB4" s="44"/>
      <c r="CC4" s="44"/>
      <c r="CD4" s="44"/>
      <c r="CE4" s="44"/>
      <c r="CF4" s="44"/>
      <c r="CG4" s="44"/>
      <c r="CH4" s="44"/>
      <c r="CI4" s="44"/>
      <c r="CJ4" s="44"/>
      <c r="CK4" s="44"/>
      <c r="CL4" s="44"/>
      <c r="CM4" s="44"/>
      <c r="CN4" s="44"/>
      <c r="CO4" s="44"/>
      <c r="CP4" s="44"/>
      <c r="CQ4" s="44"/>
      <c r="CR4" s="44"/>
      <c r="CS4" s="44"/>
      <c r="CT4" s="44"/>
      <c r="CU4" s="44"/>
      <c r="CV4" s="44"/>
      <c r="CW4" s="44"/>
      <c r="CX4" s="44"/>
      <c r="CY4" s="44"/>
      <c r="CZ4" s="44"/>
      <c r="DA4" s="44"/>
      <c r="DB4" s="44"/>
      <c r="DC4" s="44"/>
      <c r="DD4" s="44"/>
      <c r="DE4" s="44"/>
      <c r="DF4" s="44"/>
      <c r="DG4" s="44"/>
      <c r="DH4" s="44"/>
      <c r="DI4" s="44"/>
      <c r="DJ4" s="44"/>
      <c r="DK4" s="44"/>
      <c r="DL4" s="44"/>
      <c r="DM4" s="44"/>
      <c r="DN4" s="44"/>
      <c r="DO4" s="44"/>
      <c r="DP4" s="44"/>
      <c r="DQ4" s="44"/>
      <c r="DR4" s="44"/>
      <c r="DS4" s="44"/>
      <c r="DT4" s="44"/>
      <c r="DU4" s="44"/>
      <c r="DV4" s="44"/>
      <c r="DW4" s="44"/>
      <c r="DX4" s="44"/>
      <c r="DY4" s="44"/>
      <c r="DZ4" s="44"/>
      <c r="EA4" s="44"/>
      <c r="EB4" s="44"/>
      <c r="EC4" s="44"/>
      <c r="ED4" s="44"/>
      <c r="EE4" s="44"/>
      <c r="EF4" s="44"/>
      <c r="EG4" s="44"/>
      <c r="EH4" s="44"/>
      <c r="EI4" s="44"/>
      <c r="EJ4" s="44"/>
      <c r="EK4" s="44"/>
      <c r="EL4" s="44"/>
      <c r="EM4" s="44"/>
      <c r="EN4" s="44"/>
      <c r="EO4" s="44"/>
      <c r="EP4" s="44"/>
      <c r="EQ4" s="44"/>
      <c r="ER4" s="44"/>
      <c r="ES4" s="44"/>
      <c r="ET4" s="44"/>
      <c r="EU4" s="44"/>
      <c r="EV4" s="44"/>
      <c r="EW4" s="44"/>
      <c r="EX4" s="44"/>
      <c r="EY4" s="44"/>
      <c r="EZ4" s="44"/>
      <c r="FA4" s="44"/>
      <c r="FB4" s="44"/>
      <c r="FC4" s="44"/>
      <c r="FD4" s="44"/>
      <c r="FE4" s="44"/>
      <c r="FF4" s="44"/>
      <c r="FG4" s="44"/>
      <c r="FH4" s="44"/>
      <c r="FI4" s="44"/>
      <c r="FJ4" s="44"/>
      <c r="FK4" s="44"/>
      <c r="FL4" s="44"/>
    </row>
    <row r="5" spans="1:170" ht="14.4" thickBot="1" x14ac:dyDescent="0.35">
      <c r="A5" s="44"/>
      <c r="B5" s="44"/>
      <c r="C5" s="44"/>
      <c r="D5" s="44"/>
      <c r="E5" s="49"/>
      <c r="F5" s="44"/>
      <c r="G5" s="44"/>
      <c r="H5" s="44"/>
      <c r="I5" s="44"/>
      <c r="J5" s="44"/>
      <c r="K5" s="44"/>
      <c r="L5" s="44"/>
      <c r="M5" s="44"/>
      <c r="N5" s="44"/>
      <c r="O5" s="44"/>
      <c r="P5" s="44"/>
      <c r="Q5" s="44"/>
      <c r="R5" s="44"/>
      <c r="S5" s="44"/>
      <c r="T5" s="44"/>
      <c r="U5" s="44"/>
      <c r="V5" s="44"/>
      <c r="W5" s="44"/>
      <c r="X5" s="44"/>
      <c r="Y5" s="44"/>
      <c r="Z5" s="44"/>
      <c r="AA5" s="44"/>
      <c r="AB5" s="44"/>
      <c r="AC5" s="44"/>
      <c r="AD5" s="44"/>
      <c r="AE5" s="44"/>
      <c r="AF5" s="44"/>
      <c r="AG5" s="44"/>
      <c r="AH5" s="44"/>
      <c r="AI5" s="44"/>
      <c r="AJ5" s="44"/>
      <c r="AK5" s="44"/>
      <c r="AL5" s="44"/>
      <c r="AM5" s="44"/>
      <c r="AN5" s="44"/>
      <c r="AO5" s="44"/>
      <c r="AP5" s="44"/>
      <c r="AQ5" s="44"/>
      <c r="AR5" s="44"/>
      <c r="AS5" s="44"/>
      <c r="AT5" s="44"/>
      <c r="AU5" s="44"/>
      <c r="AV5" s="44"/>
      <c r="AW5" s="44"/>
      <c r="AX5" s="44"/>
      <c r="AY5" s="44"/>
      <c r="AZ5" s="44"/>
      <c r="BA5" s="44"/>
      <c r="BB5" s="44"/>
      <c r="BC5" s="44"/>
      <c r="BD5" s="44"/>
      <c r="BE5" s="44"/>
      <c r="BF5" s="44"/>
      <c r="BG5" s="44"/>
      <c r="BH5" s="44"/>
      <c r="BI5" s="44"/>
      <c r="BJ5" s="44"/>
      <c r="BK5" s="44"/>
      <c r="BL5" s="44"/>
      <c r="BM5" s="44"/>
      <c r="BN5" s="44"/>
      <c r="BO5" s="44"/>
      <c r="BP5" s="44"/>
      <c r="BQ5" s="44"/>
      <c r="BR5" s="44"/>
      <c r="BS5" s="44"/>
      <c r="BT5" s="44"/>
      <c r="BU5" s="44"/>
      <c r="BV5" s="44"/>
      <c r="BW5" s="44"/>
      <c r="BX5" s="44"/>
      <c r="BY5" s="44"/>
      <c r="BZ5" s="44"/>
      <c r="CA5" s="44"/>
      <c r="CB5" s="44"/>
      <c r="CC5" s="44"/>
      <c r="CD5" s="44"/>
      <c r="CE5" s="44"/>
      <c r="CF5" s="44"/>
      <c r="CG5" s="44"/>
      <c r="CH5" s="44"/>
      <c r="CI5" s="44"/>
      <c r="CJ5" s="44"/>
      <c r="CK5" s="44"/>
      <c r="CL5" s="44"/>
      <c r="CM5" s="44"/>
      <c r="CN5" s="44"/>
      <c r="CO5" s="44"/>
      <c r="CP5" s="44"/>
      <c r="CQ5" s="44"/>
      <c r="CR5" s="44"/>
      <c r="CS5" s="44"/>
      <c r="CT5" s="44"/>
      <c r="CU5" s="44"/>
      <c r="CV5" s="44"/>
      <c r="CW5" s="44"/>
      <c r="CX5" s="44"/>
      <c r="CY5" s="44"/>
      <c r="CZ5" s="44"/>
      <c r="DA5" s="44"/>
      <c r="DB5" s="44"/>
      <c r="DC5" s="44"/>
      <c r="DD5" s="44"/>
      <c r="DE5" s="44"/>
      <c r="DF5" s="44"/>
      <c r="DG5" s="44"/>
      <c r="DH5" s="44"/>
      <c r="DI5" s="44"/>
      <c r="DJ5" s="44"/>
      <c r="DK5" s="44"/>
      <c r="DL5" s="44"/>
      <c r="DM5" s="44"/>
      <c r="DN5" s="44"/>
      <c r="DO5" s="44"/>
      <c r="DP5" s="44"/>
      <c r="DQ5" s="44"/>
      <c r="DR5" s="44"/>
      <c r="DS5" s="44"/>
      <c r="DT5" s="44"/>
      <c r="DU5" s="44"/>
      <c r="DV5" s="44"/>
      <c r="DW5" s="44"/>
      <c r="DX5" s="44"/>
      <c r="DY5" s="44"/>
      <c r="DZ5" s="44"/>
      <c r="EA5" s="44"/>
      <c r="EB5" s="44"/>
      <c r="EC5" s="44"/>
      <c r="ED5" s="44"/>
      <c r="EE5" s="44"/>
      <c r="EF5" s="44"/>
      <c r="EG5" s="44"/>
      <c r="EH5" s="44"/>
      <c r="EI5" s="44"/>
      <c r="EJ5" s="44"/>
      <c r="EK5" s="44"/>
      <c r="EL5" s="44"/>
      <c r="EM5" s="44"/>
      <c r="EN5" s="44"/>
      <c r="EO5" s="44"/>
      <c r="EP5" s="44"/>
      <c r="EQ5" s="44"/>
      <c r="ER5" s="44"/>
      <c r="ES5" s="44"/>
      <c r="ET5" s="44"/>
      <c r="EU5" s="44"/>
      <c r="EV5" s="44"/>
      <c r="EW5" s="44"/>
      <c r="EX5" s="44"/>
      <c r="EY5" s="44"/>
      <c r="EZ5" s="44"/>
      <c r="FA5" s="44"/>
      <c r="FB5" s="44"/>
      <c r="FC5" s="44"/>
      <c r="FD5" s="44"/>
      <c r="FE5" s="44"/>
      <c r="FF5" s="44"/>
      <c r="FG5" s="44"/>
      <c r="FH5" s="44"/>
      <c r="FI5" s="44"/>
      <c r="FJ5" s="44"/>
      <c r="FK5" s="44"/>
      <c r="FL5" s="44"/>
    </row>
    <row r="6" spans="1:170" ht="57" customHeight="1" thickBot="1" x14ac:dyDescent="0.35">
      <c r="B6" s="44"/>
      <c r="C6" s="44"/>
      <c r="D6" s="44"/>
      <c r="E6" s="49"/>
      <c r="F6" s="44"/>
      <c r="G6" s="44"/>
      <c r="H6" s="44"/>
      <c r="I6" s="218">
        <v>3</v>
      </c>
      <c r="J6" s="219"/>
      <c r="K6" s="220">
        <v>46185</v>
      </c>
      <c r="L6" s="221"/>
      <c r="M6" s="221"/>
      <c r="N6" s="221"/>
      <c r="O6" s="221"/>
      <c r="P6" s="222"/>
      <c r="Q6" s="218">
        <v>1</v>
      </c>
      <c r="R6" s="219"/>
      <c r="S6" s="220">
        <v>46188</v>
      </c>
      <c r="T6" s="221"/>
      <c r="U6" s="221"/>
      <c r="V6" s="221"/>
      <c r="W6" s="221"/>
      <c r="X6" s="222"/>
      <c r="Y6" s="218">
        <v>3</v>
      </c>
      <c r="Z6" s="219"/>
      <c r="AA6" s="220">
        <v>46192</v>
      </c>
      <c r="AB6" s="221"/>
      <c r="AC6" s="221"/>
      <c r="AD6" s="221"/>
      <c r="AE6" s="221"/>
      <c r="AF6" s="222"/>
      <c r="AG6" s="218">
        <v>1</v>
      </c>
      <c r="AH6" s="219"/>
      <c r="AI6" s="220">
        <v>46195</v>
      </c>
      <c r="AJ6" s="221"/>
      <c r="AK6" s="221"/>
      <c r="AL6" s="221"/>
      <c r="AM6" s="221"/>
      <c r="AN6" s="222"/>
      <c r="AO6" s="218">
        <v>3</v>
      </c>
      <c r="AP6" s="219"/>
      <c r="AQ6" s="220">
        <v>46199</v>
      </c>
      <c r="AR6" s="221"/>
      <c r="AS6" s="221"/>
      <c r="AT6" s="221"/>
      <c r="AU6" s="221"/>
      <c r="AV6" s="222"/>
      <c r="AW6" s="218">
        <v>3</v>
      </c>
      <c r="AX6" s="219"/>
      <c r="AY6" s="220">
        <v>46223</v>
      </c>
      <c r="AZ6" s="221"/>
      <c r="BA6" s="221"/>
      <c r="BB6" s="221"/>
      <c r="BC6" s="221"/>
      <c r="BD6" s="222"/>
      <c r="BE6" s="218">
        <v>3</v>
      </c>
      <c r="BF6" s="219"/>
      <c r="BG6" s="220">
        <v>46230</v>
      </c>
      <c r="BH6" s="221"/>
      <c r="BI6" s="221"/>
      <c r="BJ6" s="221"/>
      <c r="BK6" s="221"/>
      <c r="BL6" s="222"/>
      <c r="BM6" s="218">
        <v>3</v>
      </c>
      <c r="BN6" s="219"/>
      <c r="BO6" s="220">
        <v>46237</v>
      </c>
      <c r="BP6" s="221"/>
      <c r="BQ6" s="221"/>
      <c r="BR6" s="221"/>
      <c r="BS6" s="221"/>
      <c r="BT6" s="222"/>
      <c r="BU6" s="218">
        <v>3</v>
      </c>
      <c r="BV6" s="219"/>
      <c r="BW6" s="220">
        <v>46241</v>
      </c>
      <c r="BX6" s="221"/>
      <c r="BY6" s="221"/>
      <c r="BZ6" s="221"/>
      <c r="CA6" s="221"/>
      <c r="CB6" s="222"/>
      <c r="CC6" s="218">
        <v>3</v>
      </c>
      <c r="CD6" s="219"/>
      <c r="CE6" s="220">
        <v>46244</v>
      </c>
      <c r="CF6" s="221"/>
      <c r="CG6" s="221"/>
      <c r="CH6" s="221"/>
      <c r="CI6" s="221"/>
      <c r="CJ6" s="222"/>
      <c r="CK6" s="218"/>
      <c r="CL6" s="219"/>
      <c r="CM6" s="220"/>
      <c r="CN6" s="221"/>
      <c r="CO6" s="221"/>
      <c r="CP6" s="221"/>
      <c r="CQ6" s="221"/>
      <c r="CR6" s="222"/>
      <c r="CS6" s="218"/>
      <c r="CT6" s="219"/>
      <c r="CU6" s="220"/>
      <c r="CV6" s="221"/>
      <c r="CW6" s="221"/>
      <c r="CX6" s="221"/>
      <c r="CY6" s="221"/>
      <c r="CZ6" s="222"/>
      <c r="DA6" s="218"/>
      <c r="DB6" s="219"/>
      <c r="DC6" s="220"/>
      <c r="DD6" s="221"/>
      <c r="DE6" s="221"/>
      <c r="DF6" s="221"/>
      <c r="DG6" s="221"/>
      <c r="DH6" s="222"/>
      <c r="DI6" s="218"/>
      <c r="DJ6" s="219"/>
      <c r="DK6" s="220"/>
      <c r="DL6" s="221"/>
      <c r="DM6" s="221"/>
      <c r="DN6" s="221"/>
      <c r="DO6" s="221"/>
      <c r="DP6" s="222"/>
      <c r="DQ6" s="218"/>
      <c r="DR6" s="219"/>
      <c r="DS6" s="220"/>
      <c r="DT6" s="221"/>
      <c r="DU6" s="221"/>
      <c r="DV6" s="221"/>
      <c r="DW6" s="221"/>
      <c r="DX6" s="222"/>
      <c r="DY6" s="218"/>
      <c r="DZ6" s="219"/>
      <c r="EA6" s="220"/>
      <c r="EB6" s="221"/>
      <c r="EC6" s="221"/>
      <c r="ED6" s="221"/>
      <c r="EE6" s="221"/>
      <c r="EF6" s="222"/>
      <c r="EG6" s="218"/>
      <c r="EH6" s="219"/>
      <c r="EI6" s="220"/>
      <c r="EJ6" s="221"/>
      <c r="EK6" s="221"/>
      <c r="EL6" s="221"/>
      <c r="EM6" s="221"/>
      <c r="EN6" s="222"/>
      <c r="EO6" s="218"/>
      <c r="EP6" s="219"/>
      <c r="EQ6" s="220"/>
      <c r="ER6" s="221"/>
      <c r="ES6" s="221"/>
      <c r="ET6" s="221"/>
      <c r="EU6" s="221"/>
      <c r="EV6" s="222"/>
      <c r="EW6" s="218"/>
      <c r="EX6" s="219"/>
      <c r="EY6" s="220"/>
      <c r="EZ6" s="221"/>
      <c r="FA6" s="221"/>
      <c r="FB6" s="221"/>
      <c r="FC6" s="221"/>
      <c r="FD6" s="222"/>
      <c r="FE6" s="218"/>
      <c r="FF6" s="219"/>
      <c r="FG6" s="220"/>
      <c r="FH6" s="221"/>
      <c r="FI6" s="221"/>
      <c r="FJ6" s="221"/>
      <c r="FK6" s="221"/>
      <c r="FL6" s="222"/>
    </row>
    <row r="7" spans="1:170" ht="15.6" thickBot="1" x14ac:dyDescent="0.35">
      <c r="A7" s="96">
        <f>Principal!G2</f>
        <v>5</v>
      </c>
      <c r="B7" s="96"/>
      <c r="C7" s="97"/>
      <c r="D7" s="44"/>
      <c r="E7" s="49"/>
      <c r="F7" s="44"/>
      <c r="G7" s="44"/>
      <c r="H7" s="44"/>
      <c r="I7" s="25"/>
      <c r="J7" s="26"/>
      <c r="K7" s="26"/>
      <c r="L7" s="26"/>
      <c r="M7" s="27"/>
      <c r="N7" s="28"/>
      <c r="O7" s="28"/>
      <c r="P7" s="29"/>
      <c r="Q7" s="25"/>
      <c r="R7" s="26"/>
      <c r="S7" s="26"/>
      <c r="T7" s="26"/>
      <c r="U7" s="27"/>
      <c r="V7" s="27"/>
      <c r="W7" s="27"/>
      <c r="X7" s="30"/>
      <c r="Y7" s="25"/>
      <c r="Z7" s="26"/>
      <c r="AA7" s="26"/>
      <c r="AB7" s="26"/>
      <c r="AC7" s="27"/>
      <c r="AD7" s="27"/>
      <c r="AE7" s="27"/>
      <c r="AF7" s="30"/>
      <c r="AG7" s="25"/>
      <c r="AH7" s="26"/>
      <c r="AI7" s="26"/>
      <c r="AJ7" s="26"/>
      <c r="AK7" s="27"/>
      <c r="AL7" s="27"/>
      <c r="AM7" s="27"/>
      <c r="AN7" s="30"/>
      <c r="AO7" s="25"/>
      <c r="AP7" s="26"/>
      <c r="AQ7" s="26"/>
      <c r="AR7" s="26"/>
      <c r="AS7" s="27"/>
      <c r="AT7" s="27"/>
      <c r="AU7" s="27"/>
      <c r="AV7" s="30"/>
      <c r="AW7" s="25"/>
      <c r="AX7" s="26"/>
      <c r="AY7" s="26"/>
      <c r="AZ7" s="26"/>
      <c r="BA7" s="27"/>
      <c r="BB7" s="27"/>
      <c r="BC7" s="27"/>
      <c r="BD7" s="30"/>
      <c r="BE7" s="25"/>
      <c r="BF7" s="26"/>
      <c r="BG7" s="26"/>
      <c r="BH7" s="26"/>
      <c r="BI7" s="27"/>
      <c r="BJ7" s="27"/>
      <c r="BK7" s="27"/>
      <c r="BL7" s="30"/>
      <c r="BM7" s="25"/>
      <c r="BN7" s="26"/>
      <c r="BO7" s="26"/>
      <c r="BP7" s="26"/>
      <c r="BQ7" s="27"/>
      <c r="BR7" s="27"/>
      <c r="BS7" s="27"/>
      <c r="BT7" s="30"/>
      <c r="BU7" s="25"/>
      <c r="BV7" s="26"/>
      <c r="BW7" s="26"/>
      <c r="BX7" s="26"/>
      <c r="BY7" s="27"/>
      <c r="BZ7" s="27"/>
      <c r="CA7" s="27"/>
      <c r="CB7" s="30"/>
      <c r="CC7" s="25"/>
      <c r="CD7" s="26"/>
      <c r="CE7" s="26"/>
      <c r="CF7" s="26"/>
      <c r="CG7" s="27"/>
      <c r="CH7" s="27"/>
      <c r="CI7" s="27"/>
      <c r="CJ7" s="30"/>
      <c r="CK7" s="25"/>
      <c r="CL7" s="26"/>
      <c r="CM7" s="26"/>
      <c r="CN7" s="26"/>
      <c r="CO7" s="27"/>
      <c r="CP7" s="27"/>
      <c r="CQ7" s="27"/>
      <c r="CR7" s="30"/>
      <c r="CS7" s="25"/>
      <c r="CT7" s="26"/>
      <c r="CU7" s="26"/>
      <c r="CV7" s="26"/>
      <c r="CW7" s="27"/>
      <c r="CX7" s="27"/>
      <c r="CY7" s="27"/>
      <c r="CZ7" s="30"/>
      <c r="DA7" s="25"/>
      <c r="DB7" s="26"/>
      <c r="DC7" s="26"/>
      <c r="DD7" s="26"/>
      <c r="DE7" s="27"/>
      <c r="DF7" s="27"/>
      <c r="DG7" s="27"/>
      <c r="DH7" s="30"/>
      <c r="DI7" s="25"/>
      <c r="DJ7" s="26"/>
      <c r="DK7" s="26"/>
      <c r="DL7" s="26"/>
      <c r="DM7" s="27"/>
      <c r="DN7" s="27"/>
      <c r="DO7" s="27"/>
      <c r="DP7" s="30"/>
      <c r="DQ7" s="25"/>
      <c r="DR7" s="26"/>
      <c r="DS7" s="26"/>
      <c r="DT7" s="26"/>
      <c r="DU7" s="27"/>
      <c r="DV7" s="27"/>
      <c r="DW7" s="27"/>
      <c r="DX7" s="30"/>
      <c r="DY7" s="25"/>
      <c r="DZ7" s="26"/>
      <c r="EA7" s="26"/>
      <c r="EB7" s="26"/>
      <c r="EC7" s="27"/>
      <c r="ED7" s="27"/>
      <c r="EE7" s="27"/>
      <c r="EF7" s="30"/>
      <c r="EG7" s="25"/>
      <c r="EH7" s="26"/>
      <c r="EI7" s="26"/>
      <c r="EJ7" s="26"/>
      <c r="EK7" s="27"/>
      <c r="EL7" s="27"/>
      <c r="EM7" s="27"/>
      <c r="EN7" s="30"/>
      <c r="EO7" s="25"/>
      <c r="EP7" s="26"/>
      <c r="EQ7" s="26"/>
      <c r="ER7" s="26"/>
      <c r="ES7" s="27"/>
      <c r="ET7" s="27"/>
      <c r="EU7" s="27"/>
      <c r="EV7" s="30"/>
      <c r="EW7" s="25"/>
      <c r="EX7" s="26"/>
      <c r="EY7" s="26"/>
      <c r="EZ7" s="26"/>
      <c r="FA7" s="27"/>
      <c r="FB7" s="27"/>
      <c r="FC7" s="27"/>
      <c r="FD7" s="30"/>
      <c r="FE7" s="25"/>
      <c r="FF7" s="26"/>
      <c r="FG7" s="26"/>
      <c r="FH7" s="26"/>
      <c r="FI7" s="27"/>
      <c r="FJ7" s="27"/>
      <c r="FK7" s="27"/>
      <c r="FL7" s="30"/>
    </row>
    <row r="8" spans="1:170" ht="49.2" customHeight="1" thickBot="1" x14ac:dyDescent="0.35">
      <c r="A8" s="96">
        <f>SUM(I6,Q6,Y6,AG6,AO6,AW6,BE6,BM6,BU6,CC6,CK6,CS6,DA6,DI6,DQ6,DY6,EG6,EO6,EW6,FE6)</f>
        <v>26</v>
      </c>
      <c r="B8" s="96"/>
      <c r="C8" s="96"/>
      <c r="D8" s="31"/>
      <c r="E8" s="252" t="s">
        <v>64</v>
      </c>
      <c r="F8" s="252" t="s">
        <v>65</v>
      </c>
      <c r="G8" s="252" t="s">
        <v>66</v>
      </c>
      <c r="H8" s="252" t="s">
        <v>67</v>
      </c>
      <c r="I8" s="225" t="s">
        <v>51</v>
      </c>
      <c r="J8" s="226"/>
      <c r="K8" s="226"/>
      <c r="L8" s="226"/>
      <c r="M8" s="227"/>
      <c r="N8" s="238" t="s">
        <v>52</v>
      </c>
      <c r="O8" s="239"/>
      <c r="P8" s="240"/>
      <c r="Q8" s="223" t="s">
        <v>51</v>
      </c>
      <c r="R8" s="223"/>
      <c r="S8" s="223"/>
      <c r="T8" s="223"/>
      <c r="U8" s="224"/>
      <c r="V8" s="225" t="s">
        <v>52</v>
      </c>
      <c r="W8" s="226"/>
      <c r="X8" s="227"/>
      <c r="Y8" s="223" t="s">
        <v>51</v>
      </c>
      <c r="Z8" s="223"/>
      <c r="AA8" s="223"/>
      <c r="AB8" s="223"/>
      <c r="AC8" s="224"/>
      <c r="AD8" s="225" t="s">
        <v>52</v>
      </c>
      <c r="AE8" s="226"/>
      <c r="AF8" s="227"/>
      <c r="AG8" s="223" t="s">
        <v>51</v>
      </c>
      <c r="AH8" s="223"/>
      <c r="AI8" s="223"/>
      <c r="AJ8" s="223"/>
      <c r="AK8" s="224"/>
      <c r="AL8" s="225" t="s">
        <v>52</v>
      </c>
      <c r="AM8" s="226"/>
      <c r="AN8" s="227"/>
      <c r="AO8" s="223" t="s">
        <v>51</v>
      </c>
      <c r="AP8" s="223"/>
      <c r="AQ8" s="223"/>
      <c r="AR8" s="223"/>
      <c r="AS8" s="224"/>
      <c r="AT8" s="225" t="s">
        <v>52</v>
      </c>
      <c r="AU8" s="226"/>
      <c r="AV8" s="227"/>
      <c r="AW8" s="223" t="s">
        <v>51</v>
      </c>
      <c r="AX8" s="223"/>
      <c r="AY8" s="223"/>
      <c r="AZ8" s="223"/>
      <c r="BA8" s="224"/>
      <c r="BB8" s="225" t="s">
        <v>52</v>
      </c>
      <c r="BC8" s="226"/>
      <c r="BD8" s="227"/>
      <c r="BE8" s="223" t="s">
        <v>51</v>
      </c>
      <c r="BF8" s="223"/>
      <c r="BG8" s="223"/>
      <c r="BH8" s="223"/>
      <c r="BI8" s="224"/>
      <c r="BJ8" s="225" t="s">
        <v>52</v>
      </c>
      <c r="BK8" s="226"/>
      <c r="BL8" s="227"/>
      <c r="BM8" s="223" t="s">
        <v>51</v>
      </c>
      <c r="BN8" s="223"/>
      <c r="BO8" s="223"/>
      <c r="BP8" s="223"/>
      <c r="BQ8" s="224"/>
      <c r="BR8" s="225" t="s">
        <v>52</v>
      </c>
      <c r="BS8" s="226"/>
      <c r="BT8" s="227"/>
      <c r="BU8" s="223" t="s">
        <v>51</v>
      </c>
      <c r="BV8" s="223"/>
      <c r="BW8" s="223"/>
      <c r="BX8" s="223"/>
      <c r="BY8" s="224"/>
      <c r="BZ8" s="225" t="s">
        <v>52</v>
      </c>
      <c r="CA8" s="226"/>
      <c r="CB8" s="227"/>
      <c r="CC8" s="223" t="s">
        <v>51</v>
      </c>
      <c r="CD8" s="223"/>
      <c r="CE8" s="223"/>
      <c r="CF8" s="223"/>
      <c r="CG8" s="224"/>
      <c r="CH8" s="225" t="s">
        <v>52</v>
      </c>
      <c r="CI8" s="226"/>
      <c r="CJ8" s="227"/>
      <c r="CK8" s="223" t="s">
        <v>51</v>
      </c>
      <c r="CL8" s="223"/>
      <c r="CM8" s="223"/>
      <c r="CN8" s="223"/>
      <c r="CO8" s="224"/>
      <c r="CP8" s="225" t="s">
        <v>52</v>
      </c>
      <c r="CQ8" s="226"/>
      <c r="CR8" s="227"/>
      <c r="CS8" s="223" t="s">
        <v>51</v>
      </c>
      <c r="CT8" s="223"/>
      <c r="CU8" s="223"/>
      <c r="CV8" s="223"/>
      <c r="CW8" s="224"/>
      <c r="CX8" s="225" t="s">
        <v>52</v>
      </c>
      <c r="CY8" s="226"/>
      <c r="CZ8" s="227"/>
      <c r="DA8" s="223" t="s">
        <v>51</v>
      </c>
      <c r="DB8" s="223"/>
      <c r="DC8" s="223"/>
      <c r="DD8" s="223"/>
      <c r="DE8" s="224"/>
      <c r="DF8" s="225" t="s">
        <v>52</v>
      </c>
      <c r="DG8" s="226"/>
      <c r="DH8" s="227"/>
      <c r="DI8" s="223" t="s">
        <v>51</v>
      </c>
      <c r="DJ8" s="223"/>
      <c r="DK8" s="223"/>
      <c r="DL8" s="223"/>
      <c r="DM8" s="224"/>
      <c r="DN8" s="225" t="s">
        <v>52</v>
      </c>
      <c r="DO8" s="226"/>
      <c r="DP8" s="227"/>
      <c r="DQ8" s="223" t="s">
        <v>51</v>
      </c>
      <c r="DR8" s="223"/>
      <c r="DS8" s="223"/>
      <c r="DT8" s="223"/>
      <c r="DU8" s="224"/>
      <c r="DV8" s="225" t="s">
        <v>52</v>
      </c>
      <c r="DW8" s="226"/>
      <c r="DX8" s="227"/>
      <c r="DY8" s="223" t="s">
        <v>51</v>
      </c>
      <c r="DZ8" s="223"/>
      <c r="EA8" s="223"/>
      <c r="EB8" s="223"/>
      <c r="EC8" s="224"/>
      <c r="ED8" s="225" t="s">
        <v>52</v>
      </c>
      <c r="EE8" s="226"/>
      <c r="EF8" s="227"/>
      <c r="EG8" s="223" t="s">
        <v>51</v>
      </c>
      <c r="EH8" s="223"/>
      <c r="EI8" s="223"/>
      <c r="EJ8" s="223"/>
      <c r="EK8" s="224"/>
      <c r="EL8" s="225" t="s">
        <v>52</v>
      </c>
      <c r="EM8" s="226"/>
      <c r="EN8" s="227"/>
      <c r="EO8" s="223" t="s">
        <v>51</v>
      </c>
      <c r="EP8" s="223"/>
      <c r="EQ8" s="223"/>
      <c r="ER8" s="223"/>
      <c r="ES8" s="224"/>
      <c r="ET8" s="225" t="s">
        <v>52</v>
      </c>
      <c r="EU8" s="226"/>
      <c r="EV8" s="227"/>
      <c r="EW8" s="223" t="s">
        <v>51</v>
      </c>
      <c r="EX8" s="223"/>
      <c r="EY8" s="223"/>
      <c r="EZ8" s="223"/>
      <c r="FA8" s="224"/>
      <c r="FB8" s="225" t="s">
        <v>52</v>
      </c>
      <c r="FC8" s="226"/>
      <c r="FD8" s="227"/>
      <c r="FE8" s="223" t="s">
        <v>51</v>
      </c>
      <c r="FF8" s="223"/>
      <c r="FG8" s="223"/>
      <c r="FH8" s="223"/>
      <c r="FI8" s="224"/>
      <c r="FJ8" s="225" t="s">
        <v>52</v>
      </c>
      <c r="FK8" s="226"/>
      <c r="FL8" s="227"/>
    </row>
    <row r="9" spans="1:170" ht="158.4" x14ac:dyDescent="0.25">
      <c r="A9" s="31"/>
      <c r="B9" s="58"/>
      <c r="C9" s="31"/>
      <c r="D9" s="31"/>
      <c r="E9" s="252"/>
      <c r="F9" s="252"/>
      <c r="G9" s="252"/>
      <c r="H9" s="253"/>
      <c r="I9" s="95" t="s">
        <v>53</v>
      </c>
      <c r="J9" s="69" t="s">
        <v>54</v>
      </c>
      <c r="K9" s="69" t="s">
        <v>55</v>
      </c>
      <c r="L9" s="70" t="s">
        <v>56</v>
      </c>
      <c r="M9" s="71" t="s">
        <v>57</v>
      </c>
      <c r="N9" s="228"/>
      <c r="O9" s="232"/>
      <c r="P9" s="231"/>
      <c r="Q9" s="59" t="s">
        <v>53</v>
      </c>
      <c r="R9" s="60" t="s">
        <v>54</v>
      </c>
      <c r="S9" s="60" t="s">
        <v>55</v>
      </c>
      <c r="T9" s="61" t="s">
        <v>56</v>
      </c>
      <c r="U9" s="62" t="s">
        <v>57</v>
      </c>
      <c r="V9" s="228"/>
      <c r="W9" s="231"/>
      <c r="X9" s="231"/>
      <c r="Y9" s="59" t="s">
        <v>53</v>
      </c>
      <c r="Z9" s="60" t="s">
        <v>54</v>
      </c>
      <c r="AA9" s="60" t="s">
        <v>55</v>
      </c>
      <c r="AB9" s="61" t="s">
        <v>56</v>
      </c>
      <c r="AC9" s="62" t="s">
        <v>57</v>
      </c>
      <c r="AD9" s="228"/>
      <c r="AE9" s="231"/>
      <c r="AF9" s="231"/>
      <c r="AG9" s="59" t="s">
        <v>53</v>
      </c>
      <c r="AH9" s="60" t="s">
        <v>54</v>
      </c>
      <c r="AI9" s="60" t="s">
        <v>55</v>
      </c>
      <c r="AJ9" s="61" t="s">
        <v>56</v>
      </c>
      <c r="AK9" s="62" t="s">
        <v>57</v>
      </c>
      <c r="AL9" s="228"/>
      <c r="AM9" s="231"/>
      <c r="AN9" s="231"/>
      <c r="AO9" s="59" t="s">
        <v>53</v>
      </c>
      <c r="AP9" s="60" t="s">
        <v>54</v>
      </c>
      <c r="AQ9" s="60" t="s">
        <v>55</v>
      </c>
      <c r="AR9" s="61" t="s">
        <v>56</v>
      </c>
      <c r="AS9" s="62" t="s">
        <v>57</v>
      </c>
      <c r="AT9" s="228"/>
      <c r="AU9" s="231"/>
      <c r="AV9" s="231"/>
      <c r="AW9" s="59" t="s">
        <v>53</v>
      </c>
      <c r="AX9" s="60" t="s">
        <v>54</v>
      </c>
      <c r="AY9" s="60" t="s">
        <v>55</v>
      </c>
      <c r="AZ9" s="61" t="s">
        <v>56</v>
      </c>
      <c r="BA9" s="62" t="s">
        <v>57</v>
      </c>
      <c r="BB9" s="228"/>
      <c r="BC9" s="231"/>
      <c r="BD9" s="231"/>
      <c r="BE9" s="59" t="s">
        <v>53</v>
      </c>
      <c r="BF9" s="60" t="s">
        <v>54</v>
      </c>
      <c r="BG9" s="60" t="s">
        <v>55</v>
      </c>
      <c r="BH9" s="61" t="s">
        <v>56</v>
      </c>
      <c r="BI9" s="62" t="s">
        <v>57</v>
      </c>
      <c r="BJ9" s="228"/>
      <c r="BK9" s="231"/>
      <c r="BL9" s="231"/>
      <c r="BM9" s="59" t="s">
        <v>53</v>
      </c>
      <c r="BN9" s="60" t="s">
        <v>54</v>
      </c>
      <c r="BO9" s="60" t="s">
        <v>55</v>
      </c>
      <c r="BP9" s="61" t="s">
        <v>56</v>
      </c>
      <c r="BQ9" s="62" t="s">
        <v>57</v>
      </c>
      <c r="BR9" s="228"/>
      <c r="BS9" s="231"/>
      <c r="BT9" s="231"/>
      <c r="BU9" s="59" t="s">
        <v>53</v>
      </c>
      <c r="BV9" s="60" t="s">
        <v>54</v>
      </c>
      <c r="BW9" s="60" t="s">
        <v>55</v>
      </c>
      <c r="BX9" s="61" t="s">
        <v>56</v>
      </c>
      <c r="BY9" s="62" t="s">
        <v>57</v>
      </c>
      <c r="BZ9" s="228"/>
      <c r="CA9" s="231"/>
      <c r="CB9" s="231"/>
      <c r="CC9" s="59" t="s">
        <v>53</v>
      </c>
      <c r="CD9" s="60" t="s">
        <v>54</v>
      </c>
      <c r="CE9" s="60" t="s">
        <v>55</v>
      </c>
      <c r="CF9" s="61" t="s">
        <v>56</v>
      </c>
      <c r="CG9" s="62" t="s">
        <v>57</v>
      </c>
      <c r="CH9" s="228"/>
      <c r="CI9" s="231"/>
      <c r="CJ9" s="231"/>
      <c r="CK9" s="59" t="s">
        <v>53</v>
      </c>
      <c r="CL9" s="60" t="s">
        <v>54</v>
      </c>
      <c r="CM9" s="60" t="s">
        <v>55</v>
      </c>
      <c r="CN9" s="61" t="s">
        <v>56</v>
      </c>
      <c r="CO9" s="62" t="s">
        <v>57</v>
      </c>
      <c r="CP9" s="228"/>
      <c r="CQ9" s="231"/>
      <c r="CR9" s="231"/>
      <c r="CS9" s="59" t="s">
        <v>53</v>
      </c>
      <c r="CT9" s="60" t="s">
        <v>54</v>
      </c>
      <c r="CU9" s="60" t="s">
        <v>55</v>
      </c>
      <c r="CV9" s="61" t="s">
        <v>56</v>
      </c>
      <c r="CW9" s="62" t="s">
        <v>57</v>
      </c>
      <c r="CX9" s="228"/>
      <c r="CY9" s="231"/>
      <c r="CZ9" s="231"/>
      <c r="DA9" s="59" t="s">
        <v>53</v>
      </c>
      <c r="DB9" s="60" t="s">
        <v>54</v>
      </c>
      <c r="DC9" s="60" t="s">
        <v>55</v>
      </c>
      <c r="DD9" s="61" t="s">
        <v>56</v>
      </c>
      <c r="DE9" s="62" t="s">
        <v>57</v>
      </c>
      <c r="DF9" s="228"/>
      <c r="DG9" s="231"/>
      <c r="DH9" s="231"/>
      <c r="DI9" s="59" t="s">
        <v>53</v>
      </c>
      <c r="DJ9" s="60" t="s">
        <v>54</v>
      </c>
      <c r="DK9" s="60" t="s">
        <v>55</v>
      </c>
      <c r="DL9" s="61" t="s">
        <v>56</v>
      </c>
      <c r="DM9" s="62" t="s">
        <v>57</v>
      </c>
      <c r="DN9" s="228"/>
      <c r="DO9" s="231"/>
      <c r="DP9" s="231"/>
      <c r="DQ9" s="59" t="s">
        <v>53</v>
      </c>
      <c r="DR9" s="60" t="s">
        <v>54</v>
      </c>
      <c r="DS9" s="60" t="s">
        <v>55</v>
      </c>
      <c r="DT9" s="61" t="s">
        <v>56</v>
      </c>
      <c r="DU9" s="62" t="s">
        <v>57</v>
      </c>
      <c r="DV9" s="228"/>
      <c r="DW9" s="231"/>
      <c r="DX9" s="231"/>
      <c r="DY9" s="59" t="s">
        <v>53</v>
      </c>
      <c r="DZ9" s="60" t="s">
        <v>54</v>
      </c>
      <c r="EA9" s="60" t="s">
        <v>55</v>
      </c>
      <c r="EB9" s="61" t="s">
        <v>56</v>
      </c>
      <c r="EC9" s="62" t="s">
        <v>57</v>
      </c>
      <c r="ED9" s="228"/>
      <c r="EE9" s="231"/>
      <c r="EF9" s="231"/>
      <c r="EG9" s="59" t="s">
        <v>53</v>
      </c>
      <c r="EH9" s="60" t="s">
        <v>54</v>
      </c>
      <c r="EI9" s="60" t="s">
        <v>55</v>
      </c>
      <c r="EJ9" s="61" t="s">
        <v>56</v>
      </c>
      <c r="EK9" s="62" t="s">
        <v>57</v>
      </c>
      <c r="EL9" s="228"/>
      <c r="EM9" s="231"/>
      <c r="EN9" s="231"/>
      <c r="EO9" s="59" t="s">
        <v>53</v>
      </c>
      <c r="EP9" s="60" t="s">
        <v>54</v>
      </c>
      <c r="EQ9" s="60" t="s">
        <v>55</v>
      </c>
      <c r="ER9" s="61" t="s">
        <v>56</v>
      </c>
      <c r="ES9" s="62" t="s">
        <v>57</v>
      </c>
      <c r="ET9" s="228"/>
      <c r="EU9" s="231"/>
      <c r="EV9" s="231"/>
      <c r="EW9" s="59" t="s">
        <v>53</v>
      </c>
      <c r="EX9" s="60" t="s">
        <v>54</v>
      </c>
      <c r="EY9" s="60" t="s">
        <v>55</v>
      </c>
      <c r="EZ9" s="61" t="s">
        <v>56</v>
      </c>
      <c r="FA9" s="62" t="s">
        <v>57</v>
      </c>
      <c r="FB9" s="228"/>
      <c r="FC9" s="231"/>
      <c r="FD9" s="231"/>
      <c r="FE9" s="59" t="s">
        <v>53</v>
      </c>
      <c r="FF9" s="60" t="s">
        <v>54</v>
      </c>
      <c r="FG9" s="60" t="s">
        <v>55</v>
      </c>
      <c r="FH9" s="61" t="s">
        <v>56</v>
      </c>
      <c r="FI9" s="62" t="s">
        <v>57</v>
      </c>
      <c r="FJ9" s="228"/>
      <c r="FK9" s="231"/>
      <c r="FL9" s="231"/>
    </row>
    <row r="10" spans="1:170" ht="14.55" customHeight="1" x14ac:dyDescent="0.3">
      <c r="A10" s="44"/>
      <c r="B10" s="44"/>
      <c r="C10" s="44"/>
      <c r="D10" s="44"/>
      <c r="E10" s="252"/>
      <c r="F10" s="252"/>
      <c r="G10" s="252"/>
      <c r="H10" s="253"/>
      <c r="I10" s="64"/>
      <c r="J10" s="64"/>
      <c r="K10" s="64"/>
      <c r="L10" s="64"/>
      <c r="M10" s="65"/>
      <c r="N10" s="229"/>
      <c r="O10" s="232"/>
      <c r="P10" s="232"/>
      <c r="Q10" s="63"/>
      <c r="R10" s="64"/>
      <c r="S10" s="64"/>
      <c r="T10" s="64"/>
      <c r="U10" s="65"/>
      <c r="V10" s="229"/>
      <c r="W10" s="232"/>
      <c r="X10" s="232"/>
      <c r="Y10" s="63"/>
      <c r="Z10" s="64"/>
      <c r="AA10" s="64"/>
      <c r="AB10" s="64"/>
      <c r="AC10" s="65"/>
      <c r="AD10" s="229"/>
      <c r="AE10" s="232"/>
      <c r="AF10" s="232"/>
      <c r="AG10" s="63"/>
      <c r="AH10" s="64"/>
      <c r="AI10" s="64"/>
      <c r="AJ10" s="64"/>
      <c r="AK10" s="65"/>
      <c r="AL10" s="229"/>
      <c r="AM10" s="232"/>
      <c r="AN10" s="232"/>
      <c r="AO10" s="63"/>
      <c r="AP10" s="64"/>
      <c r="AQ10" s="64"/>
      <c r="AR10" s="64"/>
      <c r="AS10" s="65"/>
      <c r="AT10" s="229"/>
      <c r="AU10" s="232"/>
      <c r="AV10" s="232"/>
      <c r="AW10" s="63"/>
      <c r="AX10" s="64"/>
      <c r="AY10" s="64"/>
      <c r="AZ10" s="64"/>
      <c r="BA10" s="65"/>
      <c r="BB10" s="229"/>
      <c r="BC10" s="232"/>
      <c r="BD10" s="232"/>
      <c r="BE10" s="63"/>
      <c r="BF10" s="64"/>
      <c r="BG10" s="64"/>
      <c r="BH10" s="64"/>
      <c r="BI10" s="65"/>
      <c r="BJ10" s="229"/>
      <c r="BK10" s="232"/>
      <c r="BL10" s="232"/>
      <c r="BM10" s="63"/>
      <c r="BN10" s="64"/>
      <c r="BO10" s="64"/>
      <c r="BP10" s="64"/>
      <c r="BQ10" s="65"/>
      <c r="BR10" s="229"/>
      <c r="BS10" s="232"/>
      <c r="BT10" s="232"/>
      <c r="BU10" s="63"/>
      <c r="BV10" s="64"/>
      <c r="BW10" s="64"/>
      <c r="BX10" s="64"/>
      <c r="BY10" s="65"/>
      <c r="BZ10" s="229"/>
      <c r="CA10" s="232"/>
      <c r="CB10" s="232"/>
      <c r="CC10" s="63"/>
      <c r="CD10" s="64"/>
      <c r="CE10" s="64"/>
      <c r="CF10" s="64"/>
      <c r="CG10" s="65"/>
      <c r="CH10" s="229"/>
      <c r="CI10" s="232"/>
      <c r="CJ10" s="232"/>
      <c r="CK10" s="63"/>
      <c r="CL10" s="64"/>
      <c r="CM10" s="64"/>
      <c r="CN10" s="64"/>
      <c r="CO10" s="65"/>
      <c r="CP10" s="229"/>
      <c r="CQ10" s="232"/>
      <c r="CR10" s="232"/>
      <c r="CS10" s="63"/>
      <c r="CT10" s="64"/>
      <c r="CU10" s="64"/>
      <c r="CV10" s="64"/>
      <c r="CW10" s="65"/>
      <c r="CX10" s="229"/>
      <c r="CY10" s="232"/>
      <c r="CZ10" s="232"/>
      <c r="DA10" s="63"/>
      <c r="DB10" s="64"/>
      <c r="DC10" s="64"/>
      <c r="DD10" s="64"/>
      <c r="DE10" s="65"/>
      <c r="DF10" s="229"/>
      <c r="DG10" s="232"/>
      <c r="DH10" s="232"/>
      <c r="DI10" s="63"/>
      <c r="DJ10" s="64"/>
      <c r="DK10" s="64"/>
      <c r="DL10" s="64"/>
      <c r="DM10" s="65"/>
      <c r="DN10" s="229"/>
      <c r="DO10" s="232"/>
      <c r="DP10" s="232"/>
      <c r="DQ10" s="63"/>
      <c r="DR10" s="64"/>
      <c r="DS10" s="64"/>
      <c r="DT10" s="64"/>
      <c r="DU10" s="65"/>
      <c r="DV10" s="229"/>
      <c r="DW10" s="232"/>
      <c r="DX10" s="232"/>
      <c r="DY10" s="63"/>
      <c r="DZ10" s="64"/>
      <c r="EA10" s="64"/>
      <c r="EB10" s="64"/>
      <c r="EC10" s="65"/>
      <c r="ED10" s="229"/>
      <c r="EE10" s="232"/>
      <c r="EF10" s="232"/>
      <c r="EG10" s="63"/>
      <c r="EH10" s="64"/>
      <c r="EI10" s="64"/>
      <c r="EJ10" s="64"/>
      <c r="EK10" s="65"/>
      <c r="EL10" s="229"/>
      <c r="EM10" s="232"/>
      <c r="EN10" s="232"/>
      <c r="EO10" s="63"/>
      <c r="EP10" s="64"/>
      <c r="EQ10" s="64"/>
      <c r="ER10" s="64"/>
      <c r="ES10" s="65"/>
      <c r="ET10" s="229"/>
      <c r="EU10" s="232"/>
      <c r="EV10" s="232"/>
      <c r="EW10" s="63"/>
      <c r="EX10" s="64"/>
      <c r="EY10" s="64"/>
      <c r="EZ10" s="64"/>
      <c r="FA10" s="65"/>
      <c r="FB10" s="229"/>
      <c r="FC10" s="232"/>
      <c r="FD10" s="232"/>
      <c r="FE10" s="63"/>
      <c r="FF10" s="64"/>
      <c r="FG10" s="64"/>
      <c r="FH10" s="64"/>
      <c r="FI10" s="65"/>
      <c r="FJ10" s="229"/>
      <c r="FK10" s="232"/>
      <c r="FL10" s="232"/>
    </row>
    <row r="11" spans="1:170" ht="15" customHeight="1" x14ac:dyDescent="0.3">
      <c r="A11" s="44"/>
      <c r="B11" s="44"/>
      <c r="C11" s="44"/>
      <c r="D11" s="44"/>
      <c r="E11" s="252"/>
      <c r="F11" s="252"/>
      <c r="G11" s="252"/>
      <c r="H11" s="253"/>
      <c r="I11" s="64"/>
      <c r="J11" s="64"/>
      <c r="K11" s="64"/>
      <c r="L11" s="66"/>
      <c r="M11" s="72"/>
      <c r="N11" s="230"/>
      <c r="O11" s="233"/>
      <c r="P11" s="233"/>
      <c r="Q11" s="67"/>
      <c r="R11" s="66"/>
      <c r="S11" s="66"/>
      <c r="T11" s="66"/>
      <c r="U11" s="66"/>
      <c r="V11" s="230"/>
      <c r="W11" s="233"/>
      <c r="X11" s="233"/>
      <c r="Y11" s="66"/>
      <c r="Z11" s="66"/>
      <c r="AA11" s="66"/>
      <c r="AB11" s="66"/>
      <c r="AC11" s="66"/>
      <c r="AD11" s="230"/>
      <c r="AE11" s="233"/>
      <c r="AF11" s="233"/>
      <c r="AG11" s="66"/>
      <c r="AH11" s="66"/>
      <c r="AI11" s="66"/>
      <c r="AJ11" s="66"/>
      <c r="AK11" s="66"/>
      <c r="AL11" s="230"/>
      <c r="AM11" s="233"/>
      <c r="AN11" s="233"/>
      <c r="AO11" s="66"/>
      <c r="AP11" s="66"/>
      <c r="AQ11" s="66"/>
      <c r="AR11" s="66"/>
      <c r="AS11" s="66"/>
      <c r="AT11" s="230"/>
      <c r="AU11" s="233"/>
      <c r="AV11" s="233"/>
      <c r="AW11" s="66"/>
      <c r="AX11" s="66"/>
      <c r="AY11" s="66"/>
      <c r="AZ11" s="66"/>
      <c r="BA11" s="66"/>
      <c r="BB11" s="230"/>
      <c r="BC11" s="233"/>
      <c r="BD11" s="233"/>
      <c r="BE11" s="66"/>
      <c r="BF11" s="66"/>
      <c r="BG11" s="66"/>
      <c r="BH11" s="66"/>
      <c r="BI11" s="66"/>
      <c r="BJ11" s="230"/>
      <c r="BK11" s="233"/>
      <c r="BL11" s="233"/>
      <c r="BM11" s="66"/>
      <c r="BN11" s="66"/>
      <c r="BO11" s="66"/>
      <c r="BP11" s="66"/>
      <c r="BQ11" s="66"/>
      <c r="BR11" s="230"/>
      <c r="BS11" s="233"/>
      <c r="BT11" s="233"/>
      <c r="BU11" s="66"/>
      <c r="BV11" s="66"/>
      <c r="BW11" s="66"/>
      <c r="BX11" s="66"/>
      <c r="BY11" s="66"/>
      <c r="BZ11" s="230"/>
      <c r="CA11" s="233"/>
      <c r="CB11" s="233"/>
      <c r="CC11" s="66"/>
      <c r="CD11" s="66"/>
      <c r="CE11" s="66"/>
      <c r="CF11" s="66"/>
      <c r="CG11" s="66"/>
      <c r="CH11" s="230"/>
      <c r="CI11" s="233"/>
      <c r="CJ11" s="233"/>
      <c r="CK11" s="66"/>
      <c r="CL11" s="66"/>
      <c r="CM11" s="66"/>
      <c r="CN11" s="66"/>
      <c r="CO11" s="66"/>
      <c r="CP11" s="230"/>
      <c r="CQ11" s="233"/>
      <c r="CR11" s="233"/>
      <c r="CS11" s="66"/>
      <c r="CT11" s="66"/>
      <c r="CU11" s="66"/>
      <c r="CV11" s="66"/>
      <c r="CW11" s="66"/>
      <c r="CX11" s="230"/>
      <c r="CY11" s="233"/>
      <c r="CZ11" s="233"/>
      <c r="DA11" s="66"/>
      <c r="DB11" s="66"/>
      <c r="DC11" s="66"/>
      <c r="DD11" s="66"/>
      <c r="DE11" s="66"/>
      <c r="DF11" s="230"/>
      <c r="DG11" s="233"/>
      <c r="DH11" s="233"/>
      <c r="DI11" s="66"/>
      <c r="DJ11" s="66"/>
      <c r="DK11" s="66"/>
      <c r="DL11" s="66"/>
      <c r="DM11" s="66"/>
      <c r="DN11" s="230"/>
      <c r="DO11" s="233"/>
      <c r="DP11" s="233"/>
      <c r="DQ11" s="66"/>
      <c r="DR11" s="66"/>
      <c r="DS11" s="66"/>
      <c r="DT11" s="66"/>
      <c r="DU11" s="66"/>
      <c r="DV11" s="230"/>
      <c r="DW11" s="233"/>
      <c r="DX11" s="233"/>
      <c r="DY11" s="66"/>
      <c r="DZ11" s="66"/>
      <c r="EA11" s="66"/>
      <c r="EB11" s="66"/>
      <c r="EC11" s="66"/>
      <c r="ED11" s="230"/>
      <c r="EE11" s="233"/>
      <c r="EF11" s="233"/>
      <c r="EG11" s="66"/>
      <c r="EH11" s="66"/>
      <c r="EI11" s="66"/>
      <c r="EJ11" s="66"/>
      <c r="EK11" s="66"/>
      <c r="EL11" s="230"/>
      <c r="EM11" s="233"/>
      <c r="EN11" s="233"/>
      <c r="EO11" s="66"/>
      <c r="EP11" s="66"/>
      <c r="EQ11" s="66"/>
      <c r="ER11" s="66"/>
      <c r="ES11" s="66"/>
      <c r="ET11" s="230"/>
      <c r="EU11" s="233"/>
      <c r="EV11" s="233"/>
      <c r="EW11" s="66"/>
      <c r="EX11" s="66"/>
      <c r="EY11" s="66"/>
      <c r="EZ11" s="66"/>
      <c r="FA11" s="66"/>
      <c r="FB11" s="230"/>
      <c r="FC11" s="233"/>
      <c r="FD11" s="233"/>
      <c r="FE11" s="66"/>
      <c r="FF11" s="66"/>
      <c r="FG11" s="66"/>
      <c r="FH11" s="66"/>
      <c r="FI11" s="66"/>
      <c r="FJ11" s="230"/>
      <c r="FK11" s="233"/>
      <c r="FL11" s="233"/>
    </row>
    <row r="12" spans="1:170" ht="19.8" customHeight="1" x14ac:dyDescent="0.25">
      <c r="A12" s="73" t="s">
        <v>0</v>
      </c>
      <c r="B12" s="31" t="s">
        <v>1</v>
      </c>
      <c r="C12" s="31" t="s">
        <v>2</v>
      </c>
      <c r="D12" s="31" t="s">
        <v>3</v>
      </c>
      <c r="E12" s="74" t="s">
        <v>58</v>
      </c>
      <c r="F12" s="74" t="s">
        <v>59</v>
      </c>
      <c r="G12" s="74" t="s">
        <v>60</v>
      </c>
      <c r="H12" s="75" t="s">
        <v>222</v>
      </c>
      <c r="I12" s="76" t="s">
        <v>224</v>
      </c>
      <c r="J12" s="75" t="s">
        <v>225</v>
      </c>
      <c r="K12" s="75" t="s">
        <v>226</v>
      </c>
      <c r="L12" s="77" t="s">
        <v>61</v>
      </c>
      <c r="M12" s="78" t="s">
        <v>221</v>
      </c>
      <c r="N12" s="79" t="s">
        <v>62</v>
      </c>
      <c r="O12" s="80" t="s">
        <v>63</v>
      </c>
      <c r="P12" s="80" t="s">
        <v>69</v>
      </c>
      <c r="Q12" s="79" t="s">
        <v>68</v>
      </c>
      <c r="R12" s="80" t="s">
        <v>70</v>
      </c>
      <c r="S12" s="80" t="s">
        <v>71</v>
      </c>
      <c r="T12" s="80" t="s">
        <v>72</v>
      </c>
      <c r="U12" s="81" t="s">
        <v>73</v>
      </c>
      <c r="V12" s="82" t="s">
        <v>74</v>
      </c>
      <c r="W12" s="43" t="s">
        <v>75</v>
      </c>
      <c r="X12" s="43" t="s">
        <v>76</v>
      </c>
      <c r="Y12" s="79" t="s">
        <v>77</v>
      </c>
      <c r="Z12" s="80" t="s">
        <v>78</v>
      </c>
      <c r="AA12" s="80" t="s">
        <v>79</v>
      </c>
      <c r="AB12" s="80" t="s">
        <v>80</v>
      </c>
      <c r="AC12" s="80" t="s">
        <v>81</v>
      </c>
      <c r="AD12" s="79" t="s">
        <v>82</v>
      </c>
      <c r="AE12" s="80" t="s">
        <v>83</v>
      </c>
      <c r="AF12" s="80" t="s">
        <v>84</v>
      </c>
      <c r="AG12" s="79" t="s">
        <v>85</v>
      </c>
      <c r="AH12" s="80" t="s">
        <v>86</v>
      </c>
      <c r="AI12" s="80" t="s">
        <v>87</v>
      </c>
      <c r="AJ12" s="80" t="s">
        <v>88</v>
      </c>
      <c r="AK12" s="80" t="s">
        <v>89</v>
      </c>
      <c r="AL12" s="79" t="s">
        <v>90</v>
      </c>
      <c r="AM12" s="80" t="s">
        <v>91</v>
      </c>
      <c r="AN12" s="80" t="s">
        <v>92</v>
      </c>
      <c r="AO12" s="79" t="s">
        <v>93</v>
      </c>
      <c r="AP12" s="80" t="s">
        <v>94</v>
      </c>
      <c r="AQ12" s="80" t="s">
        <v>95</v>
      </c>
      <c r="AR12" s="80" t="s">
        <v>96</v>
      </c>
      <c r="AS12" s="80" t="s">
        <v>97</v>
      </c>
      <c r="AT12" s="79" t="s">
        <v>98</v>
      </c>
      <c r="AU12" s="80" t="s">
        <v>99</v>
      </c>
      <c r="AV12" s="80" t="s">
        <v>100</v>
      </c>
      <c r="AW12" s="79" t="s">
        <v>101</v>
      </c>
      <c r="AX12" s="80" t="s">
        <v>102</v>
      </c>
      <c r="AY12" s="80" t="s">
        <v>103</v>
      </c>
      <c r="AZ12" s="80" t="s">
        <v>104</v>
      </c>
      <c r="BA12" s="80" t="s">
        <v>105</v>
      </c>
      <c r="BB12" s="79" t="s">
        <v>106</v>
      </c>
      <c r="BC12" s="80" t="s">
        <v>107</v>
      </c>
      <c r="BD12" s="80" t="s">
        <v>108</v>
      </c>
      <c r="BE12" s="79" t="s">
        <v>109</v>
      </c>
      <c r="BF12" s="80" t="s">
        <v>110</v>
      </c>
      <c r="BG12" s="80" t="s">
        <v>111</v>
      </c>
      <c r="BH12" s="80" t="s">
        <v>112</v>
      </c>
      <c r="BI12" s="80" t="s">
        <v>113</v>
      </c>
      <c r="BJ12" s="79" t="s">
        <v>114</v>
      </c>
      <c r="BK12" s="80" t="s">
        <v>115</v>
      </c>
      <c r="BL12" s="80" t="s">
        <v>116</v>
      </c>
      <c r="BM12" s="79" t="s">
        <v>117</v>
      </c>
      <c r="BN12" s="80" t="s">
        <v>118</v>
      </c>
      <c r="BO12" s="80" t="s">
        <v>119</v>
      </c>
      <c r="BP12" s="80" t="s">
        <v>120</v>
      </c>
      <c r="BQ12" s="80" t="s">
        <v>121</v>
      </c>
      <c r="BR12" s="79" t="s">
        <v>122</v>
      </c>
      <c r="BS12" s="80" t="s">
        <v>123</v>
      </c>
      <c r="BT12" s="80" t="s">
        <v>124</v>
      </c>
      <c r="BU12" s="79" t="s">
        <v>125</v>
      </c>
      <c r="BV12" s="80" t="s">
        <v>126</v>
      </c>
      <c r="BW12" s="80" t="s">
        <v>127</v>
      </c>
      <c r="BX12" s="80" t="s">
        <v>128</v>
      </c>
      <c r="BY12" s="80" t="s">
        <v>129</v>
      </c>
      <c r="BZ12" s="79" t="s">
        <v>130</v>
      </c>
      <c r="CA12" s="80" t="s">
        <v>131</v>
      </c>
      <c r="CB12" s="80" t="s">
        <v>132</v>
      </c>
      <c r="CC12" s="79" t="s">
        <v>133</v>
      </c>
      <c r="CD12" s="80" t="s">
        <v>134</v>
      </c>
      <c r="CE12" s="80" t="s">
        <v>135</v>
      </c>
      <c r="CF12" s="80" t="s">
        <v>136</v>
      </c>
      <c r="CG12" s="80" t="s">
        <v>137</v>
      </c>
      <c r="CH12" s="79" t="s">
        <v>138</v>
      </c>
      <c r="CI12" s="80" t="s">
        <v>139</v>
      </c>
      <c r="CJ12" s="80" t="s">
        <v>140</v>
      </c>
      <c r="CK12" s="79" t="s">
        <v>141</v>
      </c>
      <c r="CL12" s="80" t="s">
        <v>142</v>
      </c>
      <c r="CM12" s="80" t="s">
        <v>143</v>
      </c>
      <c r="CN12" s="80" t="s">
        <v>144</v>
      </c>
      <c r="CO12" s="80" t="s">
        <v>145</v>
      </c>
      <c r="CP12" s="79" t="s">
        <v>146</v>
      </c>
      <c r="CQ12" s="80" t="s">
        <v>147</v>
      </c>
      <c r="CR12" s="80" t="s">
        <v>148</v>
      </c>
      <c r="CS12" s="79" t="s">
        <v>149</v>
      </c>
      <c r="CT12" s="80" t="s">
        <v>150</v>
      </c>
      <c r="CU12" s="80" t="s">
        <v>151</v>
      </c>
      <c r="CV12" s="80" t="s">
        <v>152</v>
      </c>
      <c r="CW12" s="80" t="s">
        <v>153</v>
      </c>
      <c r="CX12" s="79" t="s">
        <v>154</v>
      </c>
      <c r="CY12" s="80" t="s">
        <v>155</v>
      </c>
      <c r="CZ12" s="80" t="s">
        <v>156</v>
      </c>
      <c r="DA12" s="79" t="s">
        <v>157</v>
      </c>
      <c r="DB12" s="80" t="s">
        <v>158</v>
      </c>
      <c r="DC12" s="80" t="s">
        <v>159</v>
      </c>
      <c r="DD12" s="80" t="s">
        <v>160</v>
      </c>
      <c r="DE12" s="80" t="s">
        <v>161</v>
      </c>
      <c r="DF12" s="79" t="s">
        <v>162</v>
      </c>
      <c r="DG12" s="80" t="s">
        <v>163</v>
      </c>
      <c r="DH12" s="80" t="s">
        <v>164</v>
      </c>
      <c r="DI12" s="79" t="s">
        <v>165</v>
      </c>
      <c r="DJ12" s="80" t="s">
        <v>166</v>
      </c>
      <c r="DK12" s="80" t="s">
        <v>167</v>
      </c>
      <c r="DL12" s="80" t="s">
        <v>168</v>
      </c>
      <c r="DM12" s="80" t="s">
        <v>169</v>
      </c>
      <c r="DN12" s="80" t="s">
        <v>170</v>
      </c>
      <c r="DO12" s="80" t="s">
        <v>171</v>
      </c>
      <c r="DP12" s="80" t="s">
        <v>172</v>
      </c>
      <c r="DQ12" s="79" t="s">
        <v>173</v>
      </c>
      <c r="DR12" s="80" t="s">
        <v>174</v>
      </c>
      <c r="DS12" s="80" t="s">
        <v>175</v>
      </c>
      <c r="DT12" s="80" t="s">
        <v>176</v>
      </c>
      <c r="DU12" s="80" t="s">
        <v>177</v>
      </c>
      <c r="DV12" s="79" t="s">
        <v>178</v>
      </c>
      <c r="DW12" s="80" t="s">
        <v>179</v>
      </c>
      <c r="DX12" s="80" t="s">
        <v>180</v>
      </c>
      <c r="DY12" s="79" t="s">
        <v>181</v>
      </c>
      <c r="DZ12" s="80" t="s">
        <v>182</v>
      </c>
      <c r="EA12" s="80" t="s">
        <v>183</v>
      </c>
      <c r="EB12" s="80" t="s">
        <v>184</v>
      </c>
      <c r="EC12" s="80" t="s">
        <v>185</v>
      </c>
      <c r="ED12" s="79" t="s">
        <v>186</v>
      </c>
      <c r="EE12" s="80" t="s">
        <v>187</v>
      </c>
      <c r="EF12" s="80" t="s">
        <v>188</v>
      </c>
      <c r="EG12" s="79" t="s">
        <v>189</v>
      </c>
      <c r="EH12" s="80" t="s">
        <v>190</v>
      </c>
      <c r="EI12" s="80" t="s">
        <v>191</v>
      </c>
      <c r="EJ12" s="80" t="s">
        <v>192</v>
      </c>
      <c r="EK12" s="80" t="s">
        <v>193</v>
      </c>
      <c r="EL12" s="79" t="s">
        <v>194</v>
      </c>
      <c r="EM12" s="80" t="s">
        <v>195</v>
      </c>
      <c r="EN12" s="80" t="s">
        <v>196</v>
      </c>
      <c r="EO12" s="79" t="s">
        <v>197</v>
      </c>
      <c r="EP12" s="80" t="s">
        <v>198</v>
      </c>
      <c r="EQ12" s="80" t="s">
        <v>199</v>
      </c>
      <c r="ER12" s="80" t="s">
        <v>200</v>
      </c>
      <c r="ES12" s="80" t="s">
        <v>201</v>
      </c>
      <c r="ET12" s="79" t="s">
        <v>202</v>
      </c>
      <c r="EU12" s="80" t="s">
        <v>203</v>
      </c>
      <c r="EV12" s="80" t="s">
        <v>204</v>
      </c>
      <c r="EW12" s="79" t="s">
        <v>205</v>
      </c>
      <c r="EX12" s="80" t="s">
        <v>206</v>
      </c>
      <c r="EY12" s="80" t="s">
        <v>207</v>
      </c>
      <c r="EZ12" s="80" t="s">
        <v>208</v>
      </c>
      <c r="FA12" s="80" t="s">
        <v>209</v>
      </c>
      <c r="FB12" s="79" t="s">
        <v>210</v>
      </c>
      <c r="FC12" s="80" t="s">
        <v>211</v>
      </c>
      <c r="FD12" s="80" t="s">
        <v>212</v>
      </c>
      <c r="FE12" s="79" t="s">
        <v>213</v>
      </c>
      <c r="FF12" s="80" t="s">
        <v>214</v>
      </c>
      <c r="FG12" s="80" t="s">
        <v>215</v>
      </c>
      <c r="FH12" s="80" t="s">
        <v>216</v>
      </c>
      <c r="FI12" s="80" t="s">
        <v>217</v>
      </c>
      <c r="FJ12" s="79" t="s">
        <v>218</v>
      </c>
      <c r="FK12" s="80" t="s">
        <v>219</v>
      </c>
      <c r="FL12" s="80" t="s">
        <v>220</v>
      </c>
      <c r="FM12" s="83" t="s">
        <v>227</v>
      </c>
      <c r="FN12" s="80" t="s">
        <v>228</v>
      </c>
    </row>
    <row r="13" spans="1:170" s="98" customFormat="1" ht="15.6" x14ac:dyDescent="0.3">
      <c r="A13" s="135" t="s">
        <v>268</v>
      </c>
      <c r="B13" s="135" t="s">
        <v>269</v>
      </c>
      <c r="C13" s="135" t="s">
        <v>270</v>
      </c>
      <c r="D13" s="164">
        <v>209070147</v>
      </c>
      <c r="E13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3</v>
      </c>
      <c r="F13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3" s="165">
        <f t="shared" ref="G13:G27" si="0">SUM(K13,S13,AA13,AI13,AQ13,AY13,BG13,BO13,BW13,CE13,CM13,CU13,DC13,DK13,DS13,EA13,EI13,EQ13,EY13,FG13,)</f>
        <v>1</v>
      </c>
      <c r="H13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4</v>
      </c>
      <c r="I13" s="167">
        <v>3</v>
      </c>
      <c r="J13" s="168"/>
      <c r="K13" s="167"/>
      <c r="L13" s="168">
        <v>3</v>
      </c>
      <c r="M13" s="169"/>
      <c r="N13" s="170">
        <v>3</v>
      </c>
      <c r="O13" s="135">
        <f>IF(ISBLANK(Estudiantes310[[#This Row],[Columna10]]),Estudiantes310[[#This Row],[AJ]],Estudiantes310[[#This Row],[Columna10]])</f>
        <v>3</v>
      </c>
      <c r="P13" s="171"/>
      <c r="Q13" s="172">
        <v>1</v>
      </c>
      <c r="R13" s="173"/>
      <c r="S13" s="173"/>
      <c r="T13" s="173">
        <v>1</v>
      </c>
      <c r="U13" s="173"/>
      <c r="V13" s="174">
        <v>3</v>
      </c>
      <c r="W13" s="175">
        <f>IF(ISBLANK(Estudiantes310[[#This Row],[Columna17]]),Estudiantes310[[#This Row],[Columna19]],Estudiantes310[[#This Row],[Columna17]])</f>
        <v>3</v>
      </c>
      <c r="X13" s="176"/>
      <c r="Y13" s="173"/>
      <c r="Z13" s="173"/>
      <c r="AA13" s="173"/>
      <c r="AB13" s="173"/>
      <c r="AC13" s="173"/>
      <c r="AD13" s="177">
        <v>3</v>
      </c>
      <c r="AE13" s="135">
        <f>IF(ISBLANK(Estudiantes310[[#This Row],[Columna25]]),Estudiantes310[[#This Row],[Columna27]],Estudiantes310[[#This Row],[Columna25]])</f>
        <v>3</v>
      </c>
      <c r="AF13" s="177"/>
      <c r="AG13" s="173"/>
      <c r="AH13" s="173"/>
      <c r="AI13" s="173"/>
      <c r="AJ13" s="173"/>
      <c r="AK13" s="173"/>
      <c r="AL13" s="177">
        <v>3</v>
      </c>
      <c r="AM13" s="135">
        <f>IF(ISBLANK(Estudiantes310[[#This Row],[Columna33]]),Estudiantes310[[#This Row],[Columna35]],Estudiantes310[[#This Row],[Columna33]])</f>
        <v>3</v>
      </c>
      <c r="AN13" s="177"/>
      <c r="AO13" s="173"/>
      <c r="AP13" s="173"/>
      <c r="AQ13" s="173"/>
      <c r="AR13" s="173"/>
      <c r="AS13" s="173"/>
      <c r="AT13" s="177">
        <v>3</v>
      </c>
      <c r="AU13" s="135">
        <f>IF(ISBLANK(Estudiantes310[[#This Row],[Columna41]]),Estudiantes310[[#This Row],[Columna43]],Estudiantes310[[#This Row],[Columna41]])</f>
        <v>3</v>
      </c>
      <c r="AV13" s="177"/>
      <c r="AW13" s="173">
        <v>3</v>
      </c>
      <c r="AX13" s="173"/>
      <c r="AY13" s="173"/>
      <c r="AZ13" s="173"/>
      <c r="BA13" s="173"/>
      <c r="BB13" s="177"/>
      <c r="BC13" s="135">
        <f>IF(ISBLANK(Estudiantes310[[#This Row],[Columna49]]),Estudiantes310[[#This Row],[Columna51]],Estudiantes310[[#This Row],[Columna49]])</f>
        <v>0</v>
      </c>
      <c r="BD13" s="177"/>
      <c r="BE13" s="173"/>
      <c r="BF13" s="173"/>
      <c r="BG13" s="173">
        <v>1</v>
      </c>
      <c r="BH13" s="173"/>
      <c r="BI13" s="173"/>
      <c r="BJ13" s="177">
        <v>3</v>
      </c>
      <c r="BK13" s="135">
        <f>IF(ISBLANK(Estudiantes310[[#This Row],[Columna57]]),Estudiantes310[[#This Row],[Columna59]],Estudiantes310[[#This Row],[Columna57]])</f>
        <v>3</v>
      </c>
      <c r="BL13" s="177"/>
      <c r="BM13" s="173"/>
      <c r="BN13" s="173"/>
      <c r="BO13" s="173"/>
      <c r="BP13" s="173"/>
      <c r="BQ13" s="173"/>
      <c r="BR13" s="177">
        <v>3</v>
      </c>
      <c r="BS13" s="135">
        <f>IF(ISBLANK(Estudiantes310[[#This Row],[Columna65]]),Estudiantes310[[#This Row],[Columna67]],Estudiantes310[[#This Row],[Columna65]])</f>
        <v>3</v>
      </c>
      <c r="BT13" s="177"/>
      <c r="BU13" s="173"/>
      <c r="BV13" s="173"/>
      <c r="BW13" s="173"/>
      <c r="BX13" s="173"/>
      <c r="BY13" s="173"/>
      <c r="BZ13" s="177">
        <v>3</v>
      </c>
      <c r="CA13" s="135">
        <f>IF(ISBLANK(Estudiantes310[[#This Row],[Columna73]]),Estudiantes310[[#This Row],[Columna75]],Estudiantes310[[#This Row],[Columna73]])</f>
        <v>3</v>
      </c>
      <c r="CB13" s="177"/>
      <c r="CC13" s="173"/>
      <c r="CD13" s="173"/>
      <c r="CE13" s="173"/>
      <c r="CF13" s="173"/>
      <c r="CG13" s="173"/>
      <c r="CH13" s="177"/>
      <c r="CI13" s="135">
        <f>IF(ISBLANK(Estudiantes310[[#This Row],[Columna81]]),Estudiantes310[[#This Row],[Columna83]],Estudiantes310[[#This Row],[Columna81]])</f>
        <v>0</v>
      </c>
      <c r="CJ13" s="177"/>
      <c r="CK13" s="173"/>
      <c r="CL13" s="173"/>
      <c r="CM13" s="173"/>
      <c r="CN13" s="173"/>
      <c r="CO13" s="173"/>
      <c r="CP13" s="177"/>
      <c r="CQ13" s="135">
        <f>IF(ISBLANK(Estudiantes310[[#This Row],[Columna89]]),Estudiantes310[[#This Row],[Columna91]],Estudiantes310[[#This Row],[Columna89]])</f>
        <v>0</v>
      </c>
      <c r="CR13" s="177"/>
      <c r="CS13" s="173"/>
      <c r="CT13" s="173"/>
      <c r="CU13" s="173"/>
      <c r="CV13" s="173"/>
      <c r="CW13" s="173"/>
      <c r="CX13" s="177"/>
      <c r="CY13" s="135">
        <f>IF(ISBLANK(Estudiantes310[[#This Row],[Columna97]]),Estudiantes310[[#This Row],[Columna99]],Estudiantes310[[#This Row],[Columna97]])</f>
        <v>0</v>
      </c>
      <c r="CZ13" s="177"/>
      <c r="DA13" s="173"/>
      <c r="DB13" s="173"/>
      <c r="DC13" s="173"/>
      <c r="DD13" s="173"/>
      <c r="DE13" s="173"/>
      <c r="DF13" s="177"/>
      <c r="DG13" s="135">
        <f>IF(ISBLANK(Estudiantes310[[#This Row],[Columna105]]),Estudiantes310[[#This Row],[Columna107]],Estudiantes310[[#This Row],[Columna105]])</f>
        <v>0</v>
      </c>
      <c r="DH13" s="177"/>
      <c r="DI13" s="173"/>
      <c r="DJ13" s="173"/>
      <c r="DK13" s="173"/>
      <c r="DL13" s="173"/>
      <c r="DM13" s="173"/>
      <c r="DN13" s="177"/>
      <c r="DO13" s="135">
        <f>IF(ISBLANK(Estudiantes310[[#This Row],[Columna113]]),Estudiantes310[[#This Row],[Columna115]],Estudiantes310[[#This Row],[Columna113]])</f>
        <v>0</v>
      </c>
      <c r="DP13" s="177"/>
      <c r="DQ13" s="173"/>
      <c r="DR13" s="173"/>
      <c r="DS13" s="173"/>
      <c r="DT13" s="173"/>
      <c r="DU13" s="173"/>
      <c r="DV13" s="177"/>
      <c r="DW13" s="135">
        <f>IF(ISBLANK(Estudiantes310[[#This Row],[Columna121]]),Estudiantes310[[#This Row],[Columna123]],Estudiantes310[[#This Row],[Columna121]])</f>
        <v>0</v>
      </c>
      <c r="DX13" s="177"/>
      <c r="DY13" s="173"/>
      <c r="DZ13" s="173"/>
      <c r="EA13" s="173"/>
      <c r="EB13" s="173"/>
      <c r="EC13" s="173"/>
      <c r="ED13" s="177"/>
      <c r="EE13" s="135">
        <f>IF(ISBLANK(Estudiantes310[[#This Row],[Columna129]]),Estudiantes310[[#This Row],[Columna131]],Estudiantes310[[#This Row],[Columna129]])</f>
        <v>0</v>
      </c>
      <c r="EF13" s="177"/>
      <c r="EG13" s="173"/>
      <c r="EH13" s="173"/>
      <c r="EI13" s="173"/>
      <c r="EJ13" s="173"/>
      <c r="EK13" s="173"/>
      <c r="EL13" s="177"/>
      <c r="EM13" s="135">
        <f>IF(ISBLANK(Estudiantes310[[#This Row],[Columna137]]),Estudiantes310[[#This Row],[Columna139]],Estudiantes310[[#This Row],[Columna137]])</f>
        <v>0</v>
      </c>
      <c r="EN13" s="177"/>
      <c r="EO13" s="173"/>
      <c r="EP13" s="173"/>
      <c r="EQ13" s="173"/>
      <c r="ER13" s="173"/>
      <c r="ES13" s="173"/>
      <c r="ET13" s="177"/>
      <c r="EU13" s="135">
        <f>IF(ISBLANK(Estudiantes310[[#This Row],[Columna145]]),Estudiantes310[[#This Row],[Columna147]],Estudiantes310[[#This Row],[Columna145]])</f>
        <v>0</v>
      </c>
      <c r="EV13" s="177"/>
      <c r="EW13" s="173"/>
      <c r="EX13" s="173"/>
      <c r="EY13" s="173"/>
      <c r="EZ13" s="173"/>
      <c r="FA13" s="173"/>
      <c r="FB13" s="177"/>
      <c r="FC13" s="135">
        <f>IF(ISBLANK(Estudiantes310[[#This Row],[Columna153]]),Estudiantes310[[#This Row],[Columna155]],Estudiantes310[[#This Row],[Columna153]])</f>
        <v>0</v>
      </c>
      <c r="FD13" s="177"/>
      <c r="FE13" s="173"/>
      <c r="FF13" s="173"/>
      <c r="FG13" s="173"/>
      <c r="FH13" s="173"/>
      <c r="FI13" s="173"/>
      <c r="FJ13" s="177"/>
      <c r="FK13" s="135">
        <f>IF(ISBLANK(Estudiantes310[[#This Row],[Columna161]]),Estudiantes310[[#This Row],[Columna163]],Estudiantes310[[#This Row],[Columna161]])</f>
        <v>0</v>
      </c>
      <c r="FL13" s="177"/>
      <c r="FM13" s="178">
        <f t="shared" ref="FM13:FM27" si="1">$I$6*IF(O13=1,0.25,IF(O13=2,0.5,IF(O13=3,1,0)))+$Q$6*IF(W13=1,0.25,IF(W13=2,0.5,IF(W13=3,1,0)))+$Y$6*IF(AE13=1,0.25,IF(AE13=2,0.5,IF(AE13=3,1,0)))+$AG$6*IF(AM13=1,0.25,IF(AM13=2,0.5,IF(AM13=3,1,0)))+$AO$6*IF(AU13=1,0.25,IF(AU13=2,0.5,IF(AU13=3,1,0)))+$AW$6*IF(BC13=1,0.25,IF(BC13=2,0.5,IF(BC13=3,1,0)))+$BE$6*IF(BK13=1,0.25,IF(BK13=2,0.5,IF(BK13=3,1,0)))+$BM$6*IF(BS13=1,0.25,IF(BS13=2,0.5,IF(BS13=3,1,0)))+$BU$6*IF(CA13=1,0.25,IF(CA13=2,0.5,IF(CA13=3,1,0)))+$CC$6*IF(CI13=1,0.25,IF(CI13=2,0.5,IF(CI13=3,1,0)))+$CK$6*IF(CQ13=1,0.25,IF(CQ13=2,0.5,IF(CQ13=3,1,0)))+$CS$6*IF(CY13=1,0.25,IF(CY13=2,0.5,IF(CY13=3,1,0)))+$DA$6*IF(DG13=1,0.25,IF(DG13=2,0.5,IF(DG13=3,1,0)))+$DI$6*IF(DO13=1,0.25,IF(DO13=2,0.5,IF(DO13=3,1,0)))+$DQ$6*IF(DW13=1,0.25,IF(DW13=2,0.5,IF(DW13=3,1,0)))+$DY$6*IF(EE13=1,0.25,IF(EE13=2,0.5,IF(EE13=3,1,0)))+$EG$6*IF(EM13=1,0.25,IF(EM13=2,0.5,IF(EM13=3,1,0)))+$EO$6*IF(EU13=1,0.25,IF(EU13=2,0.5,IF(EU13=3,1,0)))+$EW$6*IF(FC13=1,0.25,IF(FC13=2,0.5,IF(FC13=3,1,0)))+$FE$6*IF(FK13=1,0.25,IF(FK13=2,0.5,IF(FK13=3,1,0)))</f>
        <v>20</v>
      </c>
      <c r="FN13" s="135"/>
    </row>
    <row r="14" spans="1:170" ht="15.6" x14ac:dyDescent="0.3">
      <c r="A14" s="135" t="s">
        <v>268</v>
      </c>
      <c r="B14" s="135" t="s">
        <v>267</v>
      </c>
      <c r="C14" s="135" t="s">
        <v>271</v>
      </c>
      <c r="D14" s="164">
        <v>209040532</v>
      </c>
      <c r="E14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14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4" s="165">
        <f t="shared" si="0"/>
        <v>0</v>
      </c>
      <c r="H14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14" s="167"/>
      <c r="J14" s="168"/>
      <c r="K14" s="167"/>
      <c r="L14" s="168"/>
      <c r="M14" s="169"/>
      <c r="N14" s="170">
        <v>3</v>
      </c>
      <c r="O14" s="135">
        <f>IF(ISBLANK(Estudiantes310[[#This Row],[Columna10]]),Estudiantes310[[#This Row],[AJ]],Estudiantes310[[#This Row],[Columna10]])</f>
        <v>3</v>
      </c>
      <c r="P14" s="171"/>
      <c r="Q14" s="172"/>
      <c r="R14" s="173"/>
      <c r="S14" s="173"/>
      <c r="T14" s="173"/>
      <c r="U14" s="173"/>
      <c r="V14" s="174">
        <v>3</v>
      </c>
      <c r="W14" s="175">
        <f>IF(ISBLANK(Estudiantes310[[#This Row],[Columna17]]),Estudiantes310[[#This Row],[Columna19]],Estudiantes310[[#This Row],[Columna17]])</f>
        <v>3</v>
      </c>
      <c r="X14" s="176"/>
      <c r="Y14" s="173"/>
      <c r="Z14" s="173"/>
      <c r="AA14" s="173"/>
      <c r="AB14" s="173"/>
      <c r="AC14" s="173"/>
      <c r="AD14" s="177">
        <v>3</v>
      </c>
      <c r="AE14" s="135">
        <f>IF(ISBLANK(Estudiantes310[[#This Row],[Columna25]]),Estudiantes310[[#This Row],[Columna27]],Estudiantes310[[#This Row],[Columna25]])</f>
        <v>3</v>
      </c>
      <c r="AF14" s="177"/>
      <c r="AG14" s="173"/>
      <c r="AH14" s="173"/>
      <c r="AI14" s="173"/>
      <c r="AJ14" s="173"/>
      <c r="AK14" s="173"/>
      <c r="AL14" s="177">
        <v>3</v>
      </c>
      <c r="AM14" s="135">
        <f>IF(ISBLANK(Estudiantes310[[#This Row],[Columna33]]),Estudiantes310[[#This Row],[Columna35]],Estudiantes310[[#This Row],[Columna33]])</f>
        <v>3</v>
      </c>
      <c r="AN14" s="177"/>
      <c r="AO14" s="173"/>
      <c r="AP14" s="173"/>
      <c r="AQ14" s="173"/>
      <c r="AR14" s="173"/>
      <c r="AS14" s="173"/>
      <c r="AT14" s="177">
        <v>3</v>
      </c>
      <c r="AU14" s="135">
        <f>IF(ISBLANK(Estudiantes310[[#This Row],[Columna41]]),Estudiantes310[[#This Row],[Columna43]],Estudiantes310[[#This Row],[Columna41]])</f>
        <v>3</v>
      </c>
      <c r="AV14" s="177"/>
      <c r="AW14" s="173"/>
      <c r="AX14" s="173"/>
      <c r="AY14" s="173"/>
      <c r="AZ14" s="173"/>
      <c r="BA14" s="173"/>
      <c r="BB14" s="177">
        <v>3</v>
      </c>
      <c r="BC14" s="135">
        <f>IF(ISBLANK(Estudiantes310[[#This Row],[Columna49]]),Estudiantes310[[#This Row],[Columna51]],Estudiantes310[[#This Row],[Columna49]])</f>
        <v>3</v>
      </c>
      <c r="BD14" s="177"/>
      <c r="BE14" s="173"/>
      <c r="BF14" s="173"/>
      <c r="BG14" s="173"/>
      <c r="BH14" s="173"/>
      <c r="BI14" s="173"/>
      <c r="BJ14" s="177">
        <v>3</v>
      </c>
      <c r="BK14" s="135">
        <f>IF(ISBLANK(Estudiantes310[[#This Row],[Columna57]]),Estudiantes310[[#This Row],[Columna59]],Estudiantes310[[#This Row],[Columna57]])</f>
        <v>3</v>
      </c>
      <c r="BL14" s="177"/>
      <c r="BM14" s="173"/>
      <c r="BN14" s="173"/>
      <c r="BO14" s="173"/>
      <c r="BP14" s="173"/>
      <c r="BQ14" s="173"/>
      <c r="BR14" s="177">
        <v>3</v>
      </c>
      <c r="BS14" s="135">
        <f>IF(ISBLANK(Estudiantes310[[#This Row],[Columna65]]),Estudiantes310[[#This Row],[Columna67]],Estudiantes310[[#This Row],[Columna65]])</f>
        <v>3</v>
      </c>
      <c r="BT14" s="177"/>
      <c r="BU14" s="173"/>
      <c r="BV14" s="173"/>
      <c r="BW14" s="173"/>
      <c r="BX14" s="173"/>
      <c r="BY14" s="173"/>
      <c r="BZ14" s="177">
        <v>3</v>
      </c>
      <c r="CA14" s="135">
        <f>IF(ISBLANK(Estudiantes310[[#This Row],[Columna73]]),Estudiantes310[[#This Row],[Columna75]],Estudiantes310[[#This Row],[Columna73]])</f>
        <v>3</v>
      </c>
      <c r="CB14" s="177"/>
      <c r="CC14" s="173"/>
      <c r="CD14" s="173"/>
      <c r="CE14" s="173"/>
      <c r="CF14" s="173"/>
      <c r="CG14" s="173"/>
      <c r="CH14" s="177"/>
      <c r="CI14" s="135">
        <f>IF(ISBLANK(Estudiantes310[[#This Row],[Columna81]]),Estudiantes310[[#This Row],[Columna83]],Estudiantes310[[#This Row],[Columna81]])</f>
        <v>0</v>
      </c>
      <c r="CJ14" s="177"/>
      <c r="CK14" s="173"/>
      <c r="CL14" s="173"/>
      <c r="CM14" s="173"/>
      <c r="CN14" s="173"/>
      <c r="CO14" s="173"/>
      <c r="CP14" s="177"/>
      <c r="CQ14" s="135">
        <f>IF(ISBLANK(Estudiantes310[[#This Row],[Columna89]]),Estudiantes310[[#This Row],[Columna91]],Estudiantes310[[#This Row],[Columna89]])</f>
        <v>0</v>
      </c>
      <c r="CR14" s="177"/>
      <c r="CS14" s="173"/>
      <c r="CT14" s="173"/>
      <c r="CU14" s="173"/>
      <c r="CV14" s="173"/>
      <c r="CW14" s="173"/>
      <c r="CX14" s="177"/>
      <c r="CY14" s="135">
        <f>IF(ISBLANK(Estudiantes310[[#This Row],[Columna97]]),Estudiantes310[[#This Row],[Columna99]],Estudiantes310[[#This Row],[Columna97]])</f>
        <v>0</v>
      </c>
      <c r="CZ14" s="177"/>
      <c r="DA14" s="173"/>
      <c r="DB14" s="173"/>
      <c r="DC14" s="173"/>
      <c r="DD14" s="173"/>
      <c r="DE14" s="173"/>
      <c r="DF14" s="177"/>
      <c r="DG14" s="135">
        <f>IF(ISBLANK(Estudiantes310[[#This Row],[Columna105]]),Estudiantes310[[#This Row],[Columna107]],Estudiantes310[[#This Row],[Columna105]])</f>
        <v>0</v>
      </c>
      <c r="DH14" s="177"/>
      <c r="DI14" s="173"/>
      <c r="DJ14" s="173"/>
      <c r="DK14" s="173"/>
      <c r="DL14" s="173"/>
      <c r="DM14" s="173"/>
      <c r="DN14" s="177"/>
      <c r="DO14" s="135">
        <f>IF(ISBLANK(Estudiantes310[[#This Row],[Columna113]]),Estudiantes310[[#This Row],[Columna115]],Estudiantes310[[#This Row],[Columna113]])</f>
        <v>0</v>
      </c>
      <c r="DP14" s="177"/>
      <c r="DQ14" s="173"/>
      <c r="DR14" s="173"/>
      <c r="DS14" s="173"/>
      <c r="DT14" s="173"/>
      <c r="DU14" s="173"/>
      <c r="DV14" s="177"/>
      <c r="DW14" s="135">
        <f>IF(ISBLANK(Estudiantes310[[#This Row],[Columna121]]),Estudiantes310[[#This Row],[Columna123]],Estudiantes310[[#This Row],[Columna121]])</f>
        <v>0</v>
      </c>
      <c r="DX14" s="177"/>
      <c r="DY14" s="173"/>
      <c r="DZ14" s="173"/>
      <c r="EA14" s="173"/>
      <c r="EB14" s="173"/>
      <c r="EC14" s="173"/>
      <c r="ED14" s="177"/>
      <c r="EE14" s="135">
        <f>IF(ISBLANK(Estudiantes310[[#This Row],[Columna129]]),Estudiantes310[[#This Row],[Columna131]],Estudiantes310[[#This Row],[Columna129]])</f>
        <v>0</v>
      </c>
      <c r="EF14" s="177"/>
      <c r="EG14" s="173"/>
      <c r="EH14" s="173"/>
      <c r="EI14" s="173"/>
      <c r="EJ14" s="173"/>
      <c r="EK14" s="173"/>
      <c r="EL14" s="177"/>
      <c r="EM14" s="135">
        <f>IF(ISBLANK(Estudiantes310[[#This Row],[Columna137]]),Estudiantes310[[#This Row],[Columna139]],Estudiantes310[[#This Row],[Columna137]])</f>
        <v>0</v>
      </c>
      <c r="EN14" s="177"/>
      <c r="EO14" s="173"/>
      <c r="EP14" s="173"/>
      <c r="EQ14" s="173"/>
      <c r="ER14" s="173"/>
      <c r="ES14" s="173"/>
      <c r="ET14" s="177"/>
      <c r="EU14" s="135">
        <f>IF(ISBLANK(Estudiantes310[[#This Row],[Columna145]]),Estudiantes310[[#This Row],[Columna147]],Estudiantes310[[#This Row],[Columna145]])</f>
        <v>0</v>
      </c>
      <c r="EV14" s="177"/>
      <c r="EW14" s="173"/>
      <c r="EX14" s="173"/>
      <c r="EY14" s="173"/>
      <c r="EZ14" s="173"/>
      <c r="FA14" s="173"/>
      <c r="FB14" s="177"/>
      <c r="FC14" s="135">
        <f>IF(ISBLANK(Estudiantes310[[#This Row],[Columna153]]),Estudiantes310[[#This Row],[Columna155]],Estudiantes310[[#This Row],[Columna153]])</f>
        <v>0</v>
      </c>
      <c r="FD14" s="177"/>
      <c r="FE14" s="173"/>
      <c r="FF14" s="173"/>
      <c r="FG14" s="173"/>
      <c r="FH14" s="173"/>
      <c r="FI14" s="173"/>
      <c r="FJ14" s="177"/>
      <c r="FK14" s="135">
        <f>IF(ISBLANK(Estudiantes310[[#This Row],[Columna161]]),Estudiantes310[[#This Row],[Columna163]],Estudiantes310[[#This Row],[Columna161]])</f>
        <v>0</v>
      </c>
      <c r="FL14" s="177"/>
      <c r="FM14" s="178">
        <f t="shared" si="1"/>
        <v>23</v>
      </c>
      <c r="FN14" s="135"/>
    </row>
    <row r="15" spans="1:170" ht="15.6" x14ac:dyDescent="0.3">
      <c r="A15" s="135" t="s">
        <v>272</v>
      </c>
      <c r="B15" s="135" t="s">
        <v>273</v>
      </c>
      <c r="C15" s="135" t="s">
        <v>274</v>
      </c>
      <c r="D15" s="164">
        <v>120100787</v>
      </c>
      <c r="E15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15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5" s="165">
        <f t="shared" si="0"/>
        <v>0</v>
      </c>
      <c r="H15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15" s="167"/>
      <c r="J15" s="168"/>
      <c r="K15" s="167"/>
      <c r="L15" s="168"/>
      <c r="M15" s="169"/>
      <c r="N15" s="170">
        <v>3</v>
      </c>
      <c r="O15" s="135">
        <f>IF(ISBLANK(Estudiantes310[[#This Row],[Columna10]]),Estudiantes310[[#This Row],[AJ]],Estudiantes310[[#This Row],[Columna10]])</f>
        <v>3</v>
      </c>
      <c r="P15" s="171"/>
      <c r="Q15" s="172"/>
      <c r="R15" s="173"/>
      <c r="S15" s="173"/>
      <c r="T15" s="173"/>
      <c r="U15" s="173"/>
      <c r="V15" s="174">
        <v>3</v>
      </c>
      <c r="W15" s="175">
        <f>IF(ISBLANK(Estudiantes310[[#This Row],[Columna17]]),Estudiantes310[[#This Row],[Columna19]],Estudiantes310[[#This Row],[Columna17]])</f>
        <v>3</v>
      </c>
      <c r="X15" s="176"/>
      <c r="Y15" s="173"/>
      <c r="Z15" s="173"/>
      <c r="AA15" s="173"/>
      <c r="AB15" s="173"/>
      <c r="AC15" s="173"/>
      <c r="AD15" s="177">
        <v>3</v>
      </c>
      <c r="AE15" s="135">
        <f>IF(ISBLANK(Estudiantes310[[#This Row],[Columna25]]),Estudiantes310[[#This Row],[Columna27]],Estudiantes310[[#This Row],[Columna25]])</f>
        <v>3</v>
      </c>
      <c r="AF15" s="177"/>
      <c r="AG15" s="173"/>
      <c r="AH15" s="173"/>
      <c r="AI15" s="173"/>
      <c r="AJ15" s="173"/>
      <c r="AK15" s="173"/>
      <c r="AL15" s="177">
        <v>3</v>
      </c>
      <c r="AM15" s="135">
        <f>IF(ISBLANK(Estudiantes310[[#This Row],[Columna33]]),Estudiantes310[[#This Row],[Columna35]],Estudiantes310[[#This Row],[Columna33]])</f>
        <v>3</v>
      </c>
      <c r="AN15" s="177"/>
      <c r="AO15" s="173"/>
      <c r="AP15" s="173"/>
      <c r="AQ15" s="173"/>
      <c r="AR15" s="173"/>
      <c r="AS15" s="173"/>
      <c r="AT15" s="177">
        <v>3</v>
      </c>
      <c r="AU15" s="135">
        <f>IF(ISBLANK(Estudiantes310[[#This Row],[Columna41]]),Estudiantes310[[#This Row],[Columna43]],Estudiantes310[[#This Row],[Columna41]])</f>
        <v>3</v>
      </c>
      <c r="AV15" s="177"/>
      <c r="AW15" s="173"/>
      <c r="AX15" s="173"/>
      <c r="AY15" s="173"/>
      <c r="AZ15" s="173"/>
      <c r="BA15" s="173"/>
      <c r="BB15" s="177">
        <v>3</v>
      </c>
      <c r="BC15" s="135">
        <f>IF(ISBLANK(Estudiantes310[[#This Row],[Columna49]]),Estudiantes310[[#This Row],[Columna51]],Estudiantes310[[#This Row],[Columna49]])</f>
        <v>3</v>
      </c>
      <c r="BD15" s="177"/>
      <c r="BE15" s="173"/>
      <c r="BF15" s="173"/>
      <c r="BG15" s="173"/>
      <c r="BH15" s="173"/>
      <c r="BI15" s="173"/>
      <c r="BJ15" s="177">
        <v>3</v>
      </c>
      <c r="BK15" s="135">
        <f>IF(ISBLANK(Estudiantes310[[#This Row],[Columna57]]),Estudiantes310[[#This Row],[Columna59]],Estudiantes310[[#This Row],[Columna57]])</f>
        <v>3</v>
      </c>
      <c r="BL15" s="177"/>
      <c r="BM15" s="173"/>
      <c r="BN15" s="173"/>
      <c r="BO15" s="173"/>
      <c r="BP15" s="173"/>
      <c r="BQ15" s="173"/>
      <c r="BR15" s="177">
        <v>3</v>
      </c>
      <c r="BS15" s="135">
        <f>IF(ISBLANK(Estudiantes310[[#This Row],[Columna65]]),Estudiantes310[[#This Row],[Columna67]],Estudiantes310[[#This Row],[Columna65]])</f>
        <v>3</v>
      </c>
      <c r="BT15" s="177"/>
      <c r="BU15" s="173"/>
      <c r="BV15" s="173"/>
      <c r="BW15" s="173"/>
      <c r="BX15" s="173"/>
      <c r="BY15" s="173"/>
      <c r="BZ15" s="177">
        <v>3</v>
      </c>
      <c r="CA15" s="135">
        <f>IF(ISBLANK(Estudiantes310[[#This Row],[Columna73]]),Estudiantes310[[#This Row],[Columna75]],Estudiantes310[[#This Row],[Columna73]])</f>
        <v>3</v>
      </c>
      <c r="CB15" s="177"/>
      <c r="CC15" s="173"/>
      <c r="CD15" s="173"/>
      <c r="CE15" s="173"/>
      <c r="CF15" s="173"/>
      <c r="CG15" s="173"/>
      <c r="CH15" s="177"/>
      <c r="CI15" s="135">
        <f>IF(ISBLANK(Estudiantes310[[#This Row],[Columna81]]),Estudiantes310[[#This Row],[Columna83]],Estudiantes310[[#This Row],[Columna81]])</f>
        <v>0</v>
      </c>
      <c r="CJ15" s="177"/>
      <c r="CK15" s="173"/>
      <c r="CL15" s="173"/>
      <c r="CM15" s="173"/>
      <c r="CN15" s="173"/>
      <c r="CO15" s="173"/>
      <c r="CP15" s="177"/>
      <c r="CQ15" s="135">
        <f>IF(ISBLANK(Estudiantes310[[#This Row],[Columna89]]),Estudiantes310[[#This Row],[Columna91]],Estudiantes310[[#This Row],[Columna89]])</f>
        <v>0</v>
      </c>
      <c r="CR15" s="177"/>
      <c r="CS15" s="173"/>
      <c r="CT15" s="173"/>
      <c r="CU15" s="173"/>
      <c r="CV15" s="173"/>
      <c r="CW15" s="173"/>
      <c r="CX15" s="177"/>
      <c r="CY15" s="135">
        <f>IF(ISBLANK(Estudiantes310[[#This Row],[Columna97]]),Estudiantes310[[#This Row],[Columna99]],Estudiantes310[[#This Row],[Columna97]])</f>
        <v>0</v>
      </c>
      <c r="CZ15" s="177"/>
      <c r="DA15" s="173"/>
      <c r="DB15" s="173"/>
      <c r="DC15" s="173"/>
      <c r="DD15" s="173"/>
      <c r="DE15" s="173"/>
      <c r="DF15" s="177"/>
      <c r="DG15" s="135">
        <f>IF(ISBLANK(Estudiantes310[[#This Row],[Columna105]]),Estudiantes310[[#This Row],[Columna107]],Estudiantes310[[#This Row],[Columna105]])</f>
        <v>0</v>
      </c>
      <c r="DH15" s="177"/>
      <c r="DI15" s="173"/>
      <c r="DJ15" s="173"/>
      <c r="DK15" s="173"/>
      <c r="DL15" s="173"/>
      <c r="DM15" s="173"/>
      <c r="DN15" s="177"/>
      <c r="DO15" s="135">
        <f>IF(ISBLANK(Estudiantes310[[#This Row],[Columna113]]),Estudiantes310[[#This Row],[Columna115]],Estudiantes310[[#This Row],[Columna113]])</f>
        <v>0</v>
      </c>
      <c r="DP15" s="177"/>
      <c r="DQ15" s="173"/>
      <c r="DR15" s="173"/>
      <c r="DS15" s="173"/>
      <c r="DT15" s="173"/>
      <c r="DU15" s="173"/>
      <c r="DV15" s="177"/>
      <c r="DW15" s="135">
        <f>IF(ISBLANK(Estudiantes310[[#This Row],[Columna121]]),Estudiantes310[[#This Row],[Columna123]],Estudiantes310[[#This Row],[Columna121]])</f>
        <v>0</v>
      </c>
      <c r="DX15" s="177"/>
      <c r="DY15" s="173"/>
      <c r="DZ15" s="173"/>
      <c r="EA15" s="173"/>
      <c r="EB15" s="173"/>
      <c r="EC15" s="173"/>
      <c r="ED15" s="177"/>
      <c r="EE15" s="135">
        <f>IF(ISBLANK(Estudiantes310[[#This Row],[Columna129]]),Estudiantes310[[#This Row],[Columna131]],Estudiantes310[[#This Row],[Columna129]])</f>
        <v>0</v>
      </c>
      <c r="EF15" s="177"/>
      <c r="EG15" s="173"/>
      <c r="EH15" s="173"/>
      <c r="EI15" s="173"/>
      <c r="EJ15" s="173"/>
      <c r="EK15" s="173"/>
      <c r="EL15" s="177"/>
      <c r="EM15" s="135">
        <f>IF(ISBLANK(Estudiantes310[[#This Row],[Columna137]]),Estudiantes310[[#This Row],[Columna139]],Estudiantes310[[#This Row],[Columna137]])</f>
        <v>0</v>
      </c>
      <c r="EN15" s="177"/>
      <c r="EO15" s="173"/>
      <c r="EP15" s="173"/>
      <c r="EQ15" s="173"/>
      <c r="ER15" s="173"/>
      <c r="ES15" s="173"/>
      <c r="ET15" s="177"/>
      <c r="EU15" s="135">
        <f>IF(ISBLANK(Estudiantes310[[#This Row],[Columna145]]),Estudiantes310[[#This Row],[Columna147]],Estudiantes310[[#This Row],[Columna145]])</f>
        <v>0</v>
      </c>
      <c r="EV15" s="177"/>
      <c r="EW15" s="173"/>
      <c r="EX15" s="173"/>
      <c r="EY15" s="173"/>
      <c r="EZ15" s="173"/>
      <c r="FA15" s="173"/>
      <c r="FB15" s="177"/>
      <c r="FC15" s="135">
        <f>IF(ISBLANK(Estudiantes310[[#This Row],[Columna153]]),Estudiantes310[[#This Row],[Columna155]],Estudiantes310[[#This Row],[Columna153]])</f>
        <v>0</v>
      </c>
      <c r="FD15" s="177"/>
      <c r="FE15" s="173"/>
      <c r="FF15" s="173"/>
      <c r="FG15" s="173"/>
      <c r="FH15" s="173"/>
      <c r="FI15" s="173"/>
      <c r="FJ15" s="177"/>
      <c r="FK15" s="135">
        <f>IF(ISBLANK(Estudiantes310[[#This Row],[Columna161]]),Estudiantes310[[#This Row],[Columna163]],Estudiantes310[[#This Row],[Columna161]])</f>
        <v>0</v>
      </c>
      <c r="FL15" s="177"/>
      <c r="FM15" s="178">
        <f t="shared" si="1"/>
        <v>23</v>
      </c>
      <c r="FN15" s="135"/>
    </row>
    <row r="16" spans="1:170" ht="15.6" x14ac:dyDescent="0.3">
      <c r="A16" s="135" t="s">
        <v>275</v>
      </c>
      <c r="B16" s="135" t="s">
        <v>276</v>
      </c>
      <c r="C16" s="135" t="s">
        <v>277</v>
      </c>
      <c r="D16" s="164">
        <v>209010382</v>
      </c>
      <c r="E16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1</v>
      </c>
      <c r="F16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6" s="165">
        <f t="shared" si="0"/>
        <v>0</v>
      </c>
      <c r="H16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16" s="167"/>
      <c r="J16" s="168"/>
      <c r="K16" s="167"/>
      <c r="L16" s="168"/>
      <c r="M16" s="169"/>
      <c r="N16" s="170">
        <v>3</v>
      </c>
      <c r="O16" s="135">
        <f>IF(ISBLANK(Estudiantes310[[#This Row],[Columna10]]),Estudiantes310[[#This Row],[AJ]],Estudiantes310[[#This Row],[Columna10]])</f>
        <v>3</v>
      </c>
      <c r="P16" s="171"/>
      <c r="Q16" s="172">
        <v>1</v>
      </c>
      <c r="R16" s="173"/>
      <c r="S16" s="173"/>
      <c r="T16" s="173"/>
      <c r="U16" s="173"/>
      <c r="V16" s="174">
        <v>3</v>
      </c>
      <c r="W16" s="175">
        <f>IF(ISBLANK(Estudiantes310[[#This Row],[Columna17]]),Estudiantes310[[#This Row],[Columna19]],Estudiantes310[[#This Row],[Columna17]])</f>
        <v>3</v>
      </c>
      <c r="X16" s="176"/>
      <c r="Y16" s="173"/>
      <c r="Z16" s="173"/>
      <c r="AA16" s="173"/>
      <c r="AB16" s="173"/>
      <c r="AC16" s="173"/>
      <c r="AD16" s="177">
        <v>3</v>
      </c>
      <c r="AE16" s="135">
        <f>IF(ISBLANK(Estudiantes310[[#This Row],[Columna25]]),Estudiantes310[[#This Row],[Columna27]],Estudiantes310[[#This Row],[Columna25]])</f>
        <v>3</v>
      </c>
      <c r="AF16" s="177"/>
      <c r="AG16" s="173"/>
      <c r="AH16" s="173"/>
      <c r="AI16" s="173"/>
      <c r="AJ16" s="173"/>
      <c r="AK16" s="173"/>
      <c r="AL16" s="177">
        <v>3</v>
      </c>
      <c r="AM16" s="135">
        <f>IF(ISBLANK(Estudiantes310[[#This Row],[Columna33]]),Estudiantes310[[#This Row],[Columna35]],Estudiantes310[[#This Row],[Columna33]])</f>
        <v>3</v>
      </c>
      <c r="AN16" s="177"/>
      <c r="AO16" s="173"/>
      <c r="AP16" s="173"/>
      <c r="AQ16" s="173"/>
      <c r="AR16" s="173"/>
      <c r="AS16" s="173"/>
      <c r="AT16" s="177">
        <v>3</v>
      </c>
      <c r="AU16" s="135">
        <f>IF(ISBLANK(Estudiantes310[[#This Row],[Columna41]]),Estudiantes310[[#This Row],[Columna43]],Estudiantes310[[#This Row],[Columna41]])</f>
        <v>3</v>
      </c>
      <c r="AV16" s="177"/>
      <c r="AW16" s="173"/>
      <c r="AX16" s="173"/>
      <c r="AY16" s="173"/>
      <c r="AZ16" s="173"/>
      <c r="BA16" s="173"/>
      <c r="BB16" s="177">
        <v>3</v>
      </c>
      <c r="BC16" s="135">
        <f>IF(ISBLANK(Estudiantes310[[#This Row],[Columna49]]),Estudiantes310[[#This Row],[Columna51]],Estudiantes310[[#This Row],[Columna49]])</f>
        <v>3</v>
      </c>
      <c r="BD16" s="177"/>
      <c r="BE16" s="173"/>
      <c r="BF16" s="173"/>
      <c r="BG16" s="173"/>
      <c r="BH16" s="173"/>
      <c r="BI16" s="173"/>
      <c r="BJ16" s="177">
        <v>3</v>
      </c>
      <c r="BK16" s="135">
        <f>IF(ISBLANK(Estudiantes310[[#This Row],[Columna57]]),Estudiantes310[[#This Row],[Columna59]],Estudiantes310[[#This Row],[Columna57]])</f>
        <v>3</v>
      </c>
      <c r="BL16" s="177"/>
      <c r="BM16" s="173"/>
      <c r="BN16" s="173"/>
      <c r="BO16" s="173"/>
      <c r="BP16" s="173"/>
      <c r="BQ16" s="173"/>
      <c r="BR16" s="177">
        <v>3</v>
      </c>
      <c r="BS16" s="135">
        <f>IF(ISBLANK(Estudiantes310[[#This Row],[Columna65]]),Estudiantes310[[#This Row],[Columna67]],Estudiantes310[[#This Row],[Columna65]])</f>
        <v>3</v>
      </c>
      <c r="BT16" s="177"/>
      <c r="BU16" s="173"/>
      <c r="BV16" s="173"/>
      <c r="BW16" s="173"/>
      <c r="BX16" s="173"/>
      <c r="BY16" s="173"/>
      <c r="BZ16" s="177">
        <v>3</v>
      </c>
      <c r="CA16" s="135">
        <f>IF(ISBLANK(Estudiantes310[[#This Row],[Columna73]]),Estudiantes310[[#This Row],[Columna75]],Estudiantes310[[#This Row],[Columna73]])</f>
        <v>3</v>
      </c>
      <c r="CB16" s="177"/>
      <c r="CC16" s="173"/>
      <c r="CD16" s="173"/>
      <c r="CE16" s="173"/>
      <c r="CF16" s="173"/>
      <c r="CG16" s="173"/>
      <c r="CH16" s="177"/>
      <c r="CI16" s="135">
        <f>IF(ISBLANK(Estudiantes310[[#This Row],[Columna81]]),Estudiantes310[[#This Row],[Columna83]],Estudiantes310[[#This Row],[Columna81]])</f>
        <v>0</v>
      </c>
      <c r="CJ16" s="177"/>
      <c r="CK16" s="173"/>
      <c r="CL16" s="173"/>
      <c r="CM16" s="173"/>
      <c r="CN16" s="173"/>
      <c r="CO16" s="173"/>
      <c r="CP16" s="177"/>
      <c r="CQ16" s="135">
        <f>IF(ISBLANK(Estudiantes310[[#This Row],[Columna89]]),Estudiantes310[[#This Row],[Columna91]],Estudiantes310[[#This Row],[Columna89]])</f>
        <v>0</v>
      </c>
      <c r="CR16" s="177"/>
      <c r="CS16" s="173"/>
      <c r="CT16" s="173"/>
      <c r="CU16" s="173"/>
      <c r="CV16" s="173"/>
      <c r="CW16" s="173"/>
      <c r="CX16" s="177"/>
      <c r="CY16" s="135">
        <f>IF(ISBLANK(Estudiantes310[[#This Row],[Columna97]]),Estudiantes310[[#This Row],[Columna99]],Estudiantes310[[#This Row],[Columna97]])</f>
        <v>0</v>
      </c>
      <c r="CZ16" s="177"/>
      <c r="DA16" s="173"/>
      <c r="DB16" s="173"/>
      <c r="DC16" s="173"/>
      <c r="DD16" s="173"/>
      <c r="DE16" s="173"/>
      <c r="DF16" s="177"/>
      <c r="DG16" s="135">
        <f>IF(ISBLANK(Estudiantes310[[#This Row],[Columna105]]),Estudiantes310[[#This Row],[Columna107]],Estudiantes310[[#This Row],[Columna105]])</f>
        <v>0</v>
      </c>
      <c r="DH16" s="177"/>
      <c r="DI16" s="173"/>
      <c r="DJ16" s="173"/>
      <c r="DK16" s="173"/>
      <c r="DL16" s="173"/>
      <c r="DM16" s="173"/>
      <c r="DN16" s="177"/>
      <c r="DO16" s="135">
        <f>IF(ISBLANK(Estudiantes310[[#This Row],[Columna113]]),Estudiantes310[[#This Row],[Columna115]],Estudiantes310[[#This Row],[Columna113]])</f>
        <v>0</v>
      </c>
      <c r="DP16" s="177"/>
      <c r="DQ16" s="173"/>
      <c r="DR16" s="173"/>
      <c r="DS16" s="173"/>
      <c r="DT16" s="173"/>
      <c r="DU16" s="173"/>
      <c r="DV16" s="177"/>
      <c r="DW16" s="135">
        <f>IF(ISBLANK(Estudiantes310[[#This Row],[Columna121]]),Estudiantes310[[#This Row],[Columna123]],Estudiantes310[[#This Row],[Columna121]])</f>
        <v>0</v>
      </c>
      <c r="DX16" s="177"/>
      <c r="DY16" s="173"/>
      <c r="DZ16" s="173"/>
      <c r="EA16" s="173"/>
      <c r="EB16" s="173"/>
      <c r="EC16" s="173"/>
      <c r="ED16" s="177"/>
      <c r="EE16" s="135">
        <f>IF(ISBLANK(Estudiantes310[[#This Row],[Columna129]]),Estudiantes310[[#This Row],[Columna131]],Estudiantes310[[#This Row],[Columna129]])</f>
        <v>0</v>
      </c>
      <c r="EF16" s="177"/>
      <c r="EG16" s="173"/>
      <c r="EH16" s="173"/>
      <c r="EI16" s="173"/>
      <c r="EJ16" s="173"/>
      <c r="EK16" s="173"/>
      <c r="EL16" s="177"/>
      <c r="EM16" s="135">
        <f>IF(ISBLANK(Estudiantes310[[#This Row],[Columna137]]),Estudiantes310[[#This Row],[Columna139]],Estudiantes310[[#This Row],[Columna137]])</f>
        <v>0</v>
      </c>
      <c r="EN16" s="177"/>
      <c r="EO16" s="173"/>
      <c r="EP16" s="173"/>
      <c r="EQ16" s="173"/>
      <c r="ER16" s="173"/>
      <c r="ES16" s="173"/>
      <c r="ET16" s="177"/>
      <c r="EU16" s="135">
        <f>IF(ISBLANK(Estudiantes310[[#This Row],[Columna145]]),Estudiantes310[[#This Row],[Columna147]],Estudiantes310[[#This Row],[Columna145]])</f>
        <v>0</v>
      </c>
      <c r="EV16" s="177"/>
      <c r="EW16" s="173"/>
      <c r="EX16" s="173"/>
      <c r="EY16" s="173"/>
      <c r="EZ16" s="173"/>
      <c r="FA16" s="173"/>
      <c r="FB16" s="177"/>
      <c r="FC16" s="135">
        <f>IF(ISBLANK(Estudiantes310[[#This Row],[Columna153]]),Estudiantes310[[#This Row],[Columna155]],Estudiantes310[[#This Row],[Columna153]])</f>
        <v>0</v>
      </c>
      <c r="FD16" s="177"/>
      <c r="FE16" s="173"/>
      <c r="FF16" s="173"/>
      <c r="FG16" s="173"/>
      <c r="FH16" s="173"/>
      <c r="FI16" s="173"/>
      <c r="FJ16" s="177"/>
      <c r="FK16" s="135">
        <f>IF(ISBLANK(Estudiantes310[[#This Row],[Columna161]]),Estudiantes310[[#This Row],[Columna163]],Estudiantes310[[#This Row],[Columna161]])</f>
        <v>0</v>
      </c>
      <c r="FL16" s="177"/>
      <c r="FM16" s="178">
        <f t="shared" si="1"/>
        <v>23</v>
      </c>
      <c r="FN16" s="135"/>
    </row>
    <row r="17" spans="1:170" ht="15.6" x14ac:dyDescent="0.3">
      <c r="A17" s="135" t="s">
        <v>275</v>
      </c>
      <c r="B17" s="135" t="s">
        <v>278</v>
      </c>
      <c r="C17" s="135" t="s">
        <v>279</v>
      </c>
      <c r="D17" s="164">
        <v>209050852</v>
      </c>
      <c r="E17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3</v>
      </c>
      <c r="F17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7" s="165">
        <f t="shared" si="0"/>
        <v>0</v>
      </c>
      <c r="H17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3</v>
      </c>
      <c r="I17" s="167"/>
      <c r="J17" s="168"/>
      <c r="K17" s="167"/>
      <c r="L17" s="168"/>
      <c r="M17" s="169"/>
      <c r="N17" s="170">
        <v>3</v>
      </c>
      <c r="O17" s="135">
        <f>IF(ISBLANK(Estudiantes310[[#This Row],[Columna10]]),Estudiantes310[[#This Row],[AJ]],Estudiantes310[[#This Row],[Columna10]])</f>
        <v>3</v>
      </c>
      <c r="P17" s="171"/>
      <c r="Q17" s="172"/>
      <c r="R17" s="173"/>
      <c r="S17" s="173"/>
      <c r="T17" s="173"/>
      <c r="U17" s="173"/>
      <c r="V17" s="174">
        <v>3</v>
      </c>
      <c r="W17" s="175">
        <f>IF(ISBLANK(Estudiantes310[[#This Row],[Columna17]]),Estudiantes310[[#This Row],[Columna19]],Estudiantes310[[#This Row],[Columna17]])</f>
        <v>3</v>
      </c>
      <c r="X17" s="176"/>
      <c r="Y17" s="173"/>
      <c r="Z17" s="173"/>
      <c r="AA17" s="173"/>
      <c r="AB17" s="173"/>
      <c r="AC17" s="173"/>
      <c r="AD17" s="177">
        <v>3</v>
      </c>
      <c r="AE17" s="135">
        <f>IF(ISBLANK(Estudiantes310[[#This Row],[Columna25]]),Estudiantes310[[#This Row],[Columna27]],Estudiantes310[[#This Row],[Columna25]])</f>
        <v>3</v>
      </c>
      <c r="AF17" s="177"/>
      <c r="AG17" s="173"/>
      <c r="AH17" s="173"/>
      <c r="AI17" s="173"/>
      <c r="AJ17" s="173"/>
      <c r="AK17" s="173"/>
      <c r="AL17" s="177">
        <v>3</v>
      </c>
      <c r="AM17" s="135">
        <f>IF(ISBLANK(Estudiantes310[[#This Row],[Columna33]]),Estudiantes310[[#This Row],[Columna35]],Estudiantes310[[#This Row],[Columna33]])</f>
        <v>3</v>
      </c>
      <c r="AN17" s="177"/>
      <c r="AO17" s="173">
        <v>3</v>
      </c>
      <c r="AP17" s="173"/>
      <c r="AQ17" s="173"/>
      <c r="AR17" s="173"/>
      <c r="AS17" s="173"/>
      <c r="AT17" s="177"/>
      <c r="AU17" s="135">
        <f>IF(ISBLANK(Estudiantes310[[#This Row],[Columna41]]),Estudiantes310[[#This Row],[Columna43]],Estudiantes310[[#This Row],[Columna41]])</f>
        <v>0</v>
      </c>
      <c r="AV17" s="177"/>
      <c r="AW17" s="173"/>
      <c r="AX17" s="173"/>
      <c r="AY17" s="173"/>
      <c r="AZ17" s="173"/>
      <c r="BA17" s="173"/>
      <c r="BB17" s="177">
        <v>3</v>
      </c>
      <c r="BC17" s="135">
        <f>IF(ISBLANK(Estudiantes310[[#This Row],[Columna49]]),Estudiantes310[[#This Row],[Columna51]],Estudiantes310[[#This Row],[Columna49]])</f>
        <v>3</v>
      </c>
      <c r="BD17" s="177"/>
      <c r="BE17" s="173">
        <v>3</v>
      </c>
      <c r="BF17" s="173"/>
      <c r="BG17" s="173"/>
      <c r="BH17" s="173">
        <v>3</v>
      </c>
      <c r="BI17" s="173"/>
      <c r="BJ17" s="177"/>
      <c r="BK17" s="135">
        <f>IF(ISBLANK(Estudiantes310[[#This Row],[Columna57]]),Estudiantes310[[#This Row],[Columna59]],Estudiantes310[[#This Row],[Columna57]])</f>
        <v>0</v>
      </c>
      <c r="BL17" s="177"/>
      <c r="BM17" s="173"/>
      <c r="BN17" s="173"/>
      <c r="BO17" s="173"/>
      <c r="BP17" s="173"/>
      <c r="BQ17" s="173"/>
      <c r="BR17" s="177">
        <v>3</v>
      </c>
      <c r="BS17" s="135">
        <f>IF(ISBLANK(Estudiantes310[[#This Row],[Columna65]]),Estudiantes310[[#This Row],[Columna67]],Estudiantes310[[#This Row],[Columna65]])</f>
        <v>3</v>
      </c>
      <c r="BT17" s="177"/>
      <c r="BU17" s="173"/>
      <c r="BV17" s="173"/>
      <c r="BW17" s="173"/>
      <c r="BX17" s="173"/>
      <c r="BY17" s="173"/>
      <c r="BZ17" s="177">
        <v>3</v>
      </c>
      <c r="CA17" s="135">
        <f>IF(ISBLANK(Estudiantes310[[#This Row],[Columna73]]),Estudiantes310[[#This Row],[Columna75]],Estudiantes310[[#This Row],[Columna73]])</f>
        <v>3</v>
      </c>
      <c r="CB17" s="177"/>
      <c r="CC17" s="173"/>
      <c r="CD17" s="173"/>
      <c r="CE17" s="173"/>
      <c r="CF17" s="173"/>
      <c r="CG17" s="173"/>
      <c r="CH17" s="177"/>
      <c r="CI17" s="135">
        <f>IF(ISBLANK(Estudiantes310[[#This Row],[Columna81]]),Estudiantes310[[#This Row],[Columna83]],Estudiantes310[[#This Row],[Columna81]])</f>
        <v>0</v>
      </c>
      <c r="CJ17" s="177"/>
      <c r="CK17" s="173"/>
      <c r="CL17" s="173"/>
      <c r="CM17" s="173"/>
      <c r="CN17" s="173"/>
      <c r="CO17" s="173"/>
      <c r="CP17" s="177"/>
      <c r="CQ17" s="135">
        <f>IF(ISBLANK(Estudiantes310[[#This Row],[Columna89]]),Estudiantes310[[#This Row],[Columna91]],Estudiantes310[[#This Row],[Columna89]])</f>
        <v>0</v>
      </c>
      <c r="CR17" s="177"/>
      <c r="CS17" s="173"/>
      <c r="CT17" s="173"/>
      <c r="CU17" s="173"/>
      <c r="CV17" s="173"/>
      <c r="CW17" s="173"/>
      <c r="CX17" s="177"/>
      <c r="CY17" s="135">
        <f>IF(ISBLANK(Estudiantes310[[#This Row],[Columna97]]),Estudiantes310[[#This Row],[Columna99]],Estudiantes310[[#This Row],[Columna97]])</f>
        <v>0</v>
      </c>
      <c r="CZ17" s="177"/>
      <c r="DA17" s="173"/>
      <c r="DB17" s="173"/>
      <c r="DC17" s="173"/>
      <c r="DD17" s="173"/>
      <c r="DE17" s="173"/>
      <c r="DF17" s="177"/>
      <c r="DG17" s="135">
        <f>IF(ISBLANK(Estudiantes310[[#This Row],[Columna105]]),Estudiantes310[[#This Row],[Columna107]],Estudiantes310[[#This Row],[Columna105]])</f>
        <v>0</v>
      </c>
      <c r="DH17" s="177"/>
      <c r="DI17" s="173"/>
      <c r="DJ17" s="173"/>
      <c r="DK17" s="173"/>
      <c r="DL17" s="173"/>
      <c r="DM17" s="173"/>
      <c r="DN17" s="177"/>
      <c r="DO17" s="135">
        <f>IF(ISBLANK(Estudiantes310[[#This Row],[Columna113]]),Estudiantes310[[#This Row],[Columna115]],Estudiantes310[[#This Row],[Columna113]])</f>
        <v>0</v>
      </c>
      <c r="DP17" s="177"/>
      <c r="DQ17" s="173"/>
      <c r="DR17" s="173"/>
      <c r="DS17" s="173"/>
      <c r="DT17" s="173"/>
      <c r="DU17" s="173"/>
      <c r="DV17" s="177"/>
      <c r="DW17" s="135">
        <f>IF(ISBLANK(Estudiantes310[[#This Row],[Columna121]]),Estudiantes310[[#This Row],[Columna123]],Estudiantes310[[#This Row],[Columna121]])</f>
        <v>0</v>
      </c>
      <c r="DX17" s="177"/>
      <c r="DY17" s="173"/>
      <c r="DZ17" s="173"/>
      <c r="EA17" s="173"/>
      <c r="EB17" s="173"/>
      <c r="EC17" s="173"/>
      <c r="ED17" s="177"/>
      <c r="EE17" s="135">
        <f>IF(ISBLANK(Estudiantes310[[#This Row],[Columna129]]),Estudiantes310[[#This Row],[Columna131]],Estudiantes310[[#This Row],[Columna129]])</f>
        <v>0</v>
      </c>
      <c r="EF17" s="177"/>
      <c r="EG17" s="173"/>
      <c r="EH17" s="173"/>
      <c r="EI17" s="173"/>
      <c r="EJ17" s="173"/>
      <c r="EK17" s="173"/>
      <c r="EL17" s="177"/>
      <c r="EM17" s="135">
        <f>IF(ISBLANK(Estudiantes310[[#This Row],[Columna137]]),Estudiantes310[[#This Row],[Columna139]],Estudiantes310[[#This Row],[Columna137]])</f>
        <v>0</v>
      </c>
      <c r="EN17" s="177"/>
      <c r="EO17" s="173"/>
      <c r="EP17" s="173"/>
      <c r="EQ17" s="173"/>
      <c r="ER17" s="173"/>
      <c r="ES17" s="173"/>
      <c r="ET17" s="177"/>
      <c r="EU17" s="135">
        <f>IF(ISBLANK(Estudiantes310[[#This Row],[Columna145]]),Estudiantes310[[#This Row],[Columna147]],Estudiantes310[[#This Row],[Columna145]])</f>
        <v>0</v>
      </c>
      <c r="EV17" s="177"/>
      <c r="EW17" s="173"/>
      <c r="EX17" s="173"/>
      <c r="EY17" s="173"/>
      <c r="EZ17" s="173"/>
      <c r="FA17" s="173"/>
      <c r="FB17" s="177"/>
      <c r="FC17" s="135">
        <f>IF(ISBLANK(Estudiantes310[[#This Row],[Columna153]]),Estudiantes310[[#This Row],[Columna155]],Estudiantes310[[#This Row],[Columna153]])</f>
        <v>0</v>
      </c>
      <c r="FD17" s="177"/>
      <c r="FE17" s="173"/>
      <c r="FF17" s="173"/>
      <c r="FG17" s="173"/>
      <c r="FH17" s="173"/>
      <c r="FI17" s="173"/>
      <c r="FJ17" s="177"/>
      <c r="FK17" s="135">
        <f>IF(ISBLANK(Estudiantes310[[#This Row],[Columna161]]),Estudiantes310[[#This Row],[Columna163]],Estudiantes310[[#This Row],[Columna161]])</f>
        <v>0</v>
      </c>
      <c r="FL17" s="177"/>
      <c r="FM17" s="178">
        <f t="shared" si="1"/>
        <v>17</v>
      </c>
      <c r="FN17" s="135"/>
    </row>
    <row r="18" spans="1:170" ht="15.6" x14ac:dyDescent="0.3">
      <c r="A18" s="135" t="s">
        <v>280</v>
      </c>
      <c r="B18" s="135" t="s">
        <v>281</v>
      </c>
      <c r="C18" s="135" t="s">
        <v>282</v>
      </c>
      <c r="D18" s="164">
        <v>209050481</v>
      </c>
      <c r="E18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4</v>
      </c>
      <c r="F18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8" s="165">
        <f t="shared" si="0"/>
        <v>0</v>
      </c>
      <c r="H18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18" s="167"/>
      <c r="J18" s="168"/>
      <c r="K18" s="167"/>
      <c r="L18" s="168"/>
      <c r="M18" s="169"/>
      <c r="N18" s="170">
        <v>3</v>
      </c>
      <c r="O18" s="135">
        <f>IF(ISBLANK(Estudiantes310[[#This Row],[Columna10]]),Estudiantes310[[#This Row],[AJ]],Estudiantes310[[#This Row],[Columna10]])</f>
        <v>3</v>
      </c>
      <c r="P18" s="171"/>
      <c r="Q18" s="172">
        <v>1</v>
      </c>
      <c r="R18" s="173"/>
      <c r="S18" s="173"/>
      <c r="T18" s="173"/>
      <c r="U18" s="173"/>
      <c r="V18" s="174">
        <v>3</v>
      </c>
      <c r="W18" s="175">
        <f>IF(ISBLANK(Estudiantes310[[#This Row],[Columna17]]),Estudiantes310[[#This Row],[Columna19]],Estudiantes310[[#This Row],[Columna17]])</f>
        <v>3</v>
      </c>
      <c r="X18" s="176"/>
      <c r="Y18" s="173">
        <v>3</v>
      </c>
      <c r="Z18" s="173"/>
      <c r="AA18" s="173"/>
      <c r="AB18" s="173"/>
      <c r="AC18" s="173"/>
      <c r="AD18" s="177"/>
      <c r="AE18" s="135">
        <f>IF(ISBLANK(Estudiantes310[[#This Row],[Columna25]]),Estudiantes310[[#This Row],[Columna27]],Estudiantes310[[#This Row],[Columna25]])</f>
        <v>0</v>
      </c>
      <c r="AF18" s="177"/>
      <c r="AG18" s="173"/>
      <c r="AH18" s="173"/>
      <c r="AI18" s="173"/>
      <c r="AJ18" s="173"/>
      <c r="AK18" s="173"/>
      <c r="AL18" s="177">
        <v>3</v>
      </c>
      <c r="AM18" s="135">
        <f>IF(ISBLANK(Estudiantes310[[#This Row],[Columna33]]),Estudiantes310[[#This Row],[Columna35]],Estudiantes310[[#This Row],[Columna33]])</f>
        <v>3</v>
      </c>
      <c r="AN18" s="177"/>
      <c r="AO18" s="173"/>
      <c r="AP18" s="173"/>
      <c r="AQ18" s="173"/>
      <c r="AR18" s="173"/>
      <c r="AS18" s="173"/>
      <c r="AT18" s="177">
        <v>3</v>
      </c>
      <c r="AU18" s="135">
        <f>IF(ISBLANK(Estudiantes310[[#This Row],[Columna41]]),Estudiantes310[[#This Row],[Columna43]],Estudiantes310[[#This Row],[Columna41]])</f>
        <v>3</v>
      </c>
      <c r="AV18" s="177"/>
      <c r="AW18" s="173"/>
      <c r="AX18" s="173"/>
      <c r="AY18" s="173"/>
      <c r="AZ18" s="173"/>
      <c r="BA18" s="173"/>
      <c r="BB18" s="177">
        <v>3</v>
      </c>
      <c r="BC18" s="135">
        <f>IF(ISBLANK(Estudiantes310[[#This Row],[Columna49]]),Estudiantes310[[#This Row],[Columna51]],Estudiantes310[[#This Row],[Columna49]])</f>
        <v>3</v>
      </c>
      <c r="BD18" s="177"/>
      <c r="BE18" s="173"/>
      <c r="BF18" s="173"/>
      <c r="BG18" s="173"/>
      <c r="BH18" s="173"/>
      <c r="BI18" s="173"/>
      <c r="BJ18" s="177">
        <v>3</v>
      </c>
      <c r="BK18" s="135">
        <f>IF(ISBLANK(Estudiantes310[[#This Row],[Columna57]]),Estudiantes310[[#This Row],[Columna59]],Estudiantes310[[#This Row],[Columna57]])</f>
        <v>3</v>
      </c>
      <c r="BL18" s="177"/>
      <c r="BM18" s="173"/>
      <c r="BN18" s="173"/>
      <c r="BO18" s="173"/>
      <c r="BP18" s="173"/>
      <c r="BQ18" s="173"/>
      <c r="BR18" s="177">
        <v>3</v>
      </c>
      <c r="BS18" s="135">
        <f>IF(ISBLANK(Estudiantes310[[#This Row],[Columna65]]),Estudiantes310[[#This Row],[Columna67]],Estudiantes310[[#This Row],[Columna65]])</f>
        <v>3</v>
      </c>
      <c r="BT18" s="177"/>
      <c r="BU18" s="173"/>
      <c r="BV18" s="173"/>
      <c r="BW18" s="173"/>
      <c r="BX18" s="173"/>
      <c r="BY18" s="173"/>
      <c r="BZ18" s="177">
        <v>3</v>
      </c>
      <c r="CA18" s="135">
        <f>IF(ISBLANK(Estudiantes310[[#This Row],[Columna73]]),Estudiantes310[[#This Row],[Columna75]],Estudiantes310[[#This Row],[Columna73]])</f>
        <v>3</v>
      </c>
      <c r="CB18" s="177"/>
      <c r="CC18" s="173"/>
      <c r="CD18" s="173"/>
      <c r="CE18" s="173"/>
      <c r="CF18" s="173"/>
      <c r="CG18" s="173"/>
      <c r="CH18" s="177"/>
      <c r="CI18" s="135">
        <f>IF(ISBLANK(Estudiantes310[[#This Row],[Columna81]]),Estudiantes310[[#This Row],[Columna83]],Estudiantes310[[#This Row],[Columna81]])</f>
        <v>0</v>
      </c>
      <c r="CJ18" s="177"/>
      <c r="CK18" s="173"/>
      <c r="CL18" s="173"/>
      <c r="CM18" s="173"/>
      <c r="CN18" s="173"/>
      <c r="CO18" s="173"/>
      <c r="CP18" s="177"/>
      <c r="CQ18" s="135">
        <f>IF(ISBLANK(Estudiantes310[[#This Row],[Columna89]]),Estudiantes310[[#This Row],[Columna91]],Estudiantes310[[#This Row],[Columna89]])</f>
        <v>0</v>
      </c>
      <c r="CR18" s="177"/>
      <c r="CS18" s="173"/>
      <c r="CT18" s="173"/>
      <c r="CU18" s="173"/>
      <c r="CV18" s="173"/>
      <c r="CW18" s="173"/>
      <c r="CX18" s="177"/>
      <c r="CY18" s="135">
        <f>IF(ISBLANK(Estudiantes310[[#This Row],[Columna97]]),Estudiantes310[[#This Row],[Columna99]],Estudiantes310[[#This Row],[Columna97]])</f>
        <v>0</v>
      </c>
      <c r="CZ18" s="177"/>
      <c r="DA18" s="173"/>
      <c r="DB18" s="173"/>
      <c r="DC18" s="173"/>
      <c r="DD18" s="173"/>
      <c r="DE18" s="173"/>
      <c r="DF18" s="177"/>
      <c r="DG18" s="135">
        <f>IF(ISBLANK(Estudiantes310[[#This Row],[Columna105]]),Estudiantes310[[#This Row],[Columna107]],Estudiantes310[[#This Row],[Columna105]])</f>
        <v>0</v>
      </c>
      <c r="DH18" s="177"/>
      <c r="DI18" s="173"/>
      <c r="DJ18" s="173"/>
      <c r="DK18" s="173"/>
      <c r="DL18" s="173"/>
      <c r="DM18" s="173"/>
      <c r="DN18" s="177"/>
      <c r="DO18" s="135">
        <f>IF(ISBLANK(Estudiantes310[[#This Row],[Columna113]]),Estudiantes310[[#This Row],[Columna115]],Estudiantes310[[#This Row],[Columna113]])</f>
        <v>0</v>
      </c>
      <c r="DP18" s="177"/>
      <c r="DQ18" s="173"/>
      <c r="DR18" s="173"/>
      <c r="DS18" s="173"/>
      <c r="DT18" s="173"/>
      <c r="DU18" s="173"/>
      <c r="DV18" s="177"/>
      <c r="DW18" s="135">
        <f>IF(ISBLANK(Estudiantes310[[#This Row],[Columna121]]),Estudiantes310[[#This Row],[Columna123]],Estudiantes310[[#This Row],[Columna121]])</f>
        <v>0</v>
      </c>
      <c r="DX18" s="177"/>
      <c r="DY18" s="173"/>
      <c r="DZ18" s="173"/>
      <c r="EA18" s="173"/>
      <c r="EB18" s="173"/>
      <c r="EC18" s="173"/>
      <c r="ED18" s="177"/>
      <c r="EE18" s="135">
        <f>IF(ISBLANK(Estudiantes310[[#This Row],[Columna129]]),Estudiantes310[[#This Row],[Columna131]],Estudiantes310[[#This Row],[Columna129]])</f>
        <v>0</v>
      </c>
      <c r="EF18" s="177"/>
      <c r="EG18" s="173"/>
      <c r="EH18" s="173"/>
      <c r="EI18" s="173"/>
      <c r="EJ18" s="173"/>
      <c r="EK18" s="173"/>
      <c r="EL18" s="177"/>
      <c r="EM18" s="135">
        <f>IF(ISBLANK(Estudiantes310[[#This Row],[Columna137]]),Estudiantes310[[#This Row],[Columna139]],Estudiantes310[[#This Row],[Columna137]])</f>
        <v>0</v>
      </c>
      <c r="EN18" s="177"/>
      <c r="EO18" s="173"/>
      <c r="EP18" s="173"/>
      <c r="EQ18" s="173"/>
      <c r="ER18" s="173"/>
      <c r="ES18" s="173"/>
      <c r="ET18" s="177"/>
      <c r="EU18" s="135">
        <f>IF(ISBLANK(Estudiantes310[[#This Row],[Columna145]]),Estudiantes310[[#This Row],[Columna147]],Estudiantes310[[#This Row],[Columna145]])</f>
        <v>0</v>
      </c>
      <c r="EV18" s="177"/>
      <c r="EW18" s="173"/>
      <c r="EX18" s="173"/>
      <c r="EY18" s="173"/>
      <c r="EZ18" s="173"/>
      <c r="FA18" s="173"/>
      <c r="FB18" s="177"/>
      <c r="FC18" s="135">
        <f>IF(ISBLANK(Estudiantes310[[#This Row],[Columna153]]),Estudiantes310[[#This Row],[Columna155]],Estudiantes310[[#This Row],[Columna153]])</f>
        <v>0</v>
      </c>
      <c r="FD18" s="177"/>
      <c r="FE18" s="173"/>
      <c r="FF18" s="173"/>
      <c r="FG18" s="173"/>
      <c r="FH18" s="173"/>
      <c r="FI18" s="173"/>
      <c r="FJ18" s="177"/>
      <c r="FK18" s="135">
        <f>IF(ISBLANK(Estudiantes310[[#This Row],[Columna161]]),Estudiantes310[[#This Row],[Columna163]],Estudiantes310[[#This Row],[Columna161]])</f>
        <v>0</v>
      </c>
      <c r="FL18" s="177"/>
      <c r="FM18" s="178">
        <f t="shared" si="1"/>
        <v>20</v>
      </c>
      <c r="FN18" s="135"/>
    </row>
    <row r="19" spans="1:170" ht="15.6" x14ac:dyDescent="0.3">
      <c r="A19" s="135" t="s">
        <v>283</v>
      </c>
      <c r="B19" s="135" t="s">
        <v>284</v>
      </c>
      <c r="C19" s="135" t="s">
        <v>285</v>
      </c>
      <c r="D19" s="164">
        <v>208910947</v>
      </c>
      <c r="E19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19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19" s="165">
        <f t="shared" si="0"/>
        <v>0</v>
      </c>
      <c r="H19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19" s="167"/>
      <c r="J19" s="168"/>
      <c r="K19" s="167"/>
      <c r="L19" s="168"/>
      <c r="M19" s="169"/>
      <c r="N19" s="170">
        <v>3</v>
      </c>
      <c r="O19" s="135">
        <f>IF(ISBLANK(Estudiantes310[[#This Row],[Columna10]]),Estudiantes310[[#This Row],[AJ]],Estudiantes310[[#This Row],[Columna10]])</f>
        <v>3</v>
      </c>
      <c r="P19" s="171"/>
      <c r="Q19" s="172"/>
      <c r="R19" s="173"/>
      <c r="S19" s="173"/>
      <c r="T19" s="173"/>
      <c r="U19" s="173"/>
      <c r="V19" s="174">
        <v>3</v>
      </c>
      <c r="W19" s="175">
        <f>IF(ISBLANK(Estudiantes310[[#This Row],[Columna17]]),Estudiantes310[[#This Row],[Columna19]],Estudiantes310[[#This Row],[Columna17]])</f>
        <v>3</v>
      </c>
      <c r="X19" s="176"/>
      <c r="Y19" s="173"/>
      <c r="Z19" s="173"/>
      <c r="AA19" s="173"/>
      <c r="AB19" s="173"/>
      <c r="AC19" s="173"/>
      <c r="AD19" s="177">
        <v>3</v>
      </c>
      <c r="AE19" s="135">
        <f>IF(ISBLANK(Estudiantes310[[#This Row],[Columna25]]),Estudiantes310[[#This Row],[Columna27]],Estudiantes310[[#This Row],[Columna25]])</f>
        <v>3</v>
      </c>
      <c r="AF19" s="177"/>
      <c r="AG19" s="173"/>
      <c r="AH19" s="173"/>
      <c r="AI19" s="173"/>
      <c r="AJ19" s="173"/>
      <c r="AK19" s="173"/>
      <c r="AL19" s="177">
        <v>3</v>
      </c>
      <c r="AM19" s="135">
        <f>IF(ISBLANK(Estudiantes310[[#This Row],[Columna33]]),Estudiantes310[[#This Row],[Columna35]],Estudiantes310[[#This Row],[Columna33]])</f>
        <v>3</v>
      </c>
      <c r="AN19" s="177"/>
      <c r="AO19" s="173"/>
      <c r="AP19" s="173"/>
      <c r="AQ19" s="173"/>
      <c r="AR19" s="173"/>
      <c r="AS19" s="173"/>
      <c r="AT19" s="177">
        <v>3</v>
      </c>
      <c r="AU19" s="135">
        <f>IF(ISBLANK(Estudiantes310[[#This Row],[Columna41]]),Estudiantes310[[#This Row],[Columna43]],Estudiantes310[[#This Row],[Columna41]])</f>
        <v>3</v>
      </c>
      <c r="AV19" s="177"/>
      <c r="AW19" s="173"/>
      <c r="AX19" s="173"/>
      <c r="AY19" s="173"/>
      <c r="AZ19" s="173"/>
      <c r="BA19" s="173"/>
      <c r="BB19" s="177">
        <v>3</v>
      </c>
      <c r="BC19" s="135">
        <f>IF(ISBLANK(Estudiantes310[[#This Row],[Columna49]]),Estudiantes310[[#This Row],[Columna51]],Estudiantes310[[#This Row],[Columna49]])</f>
        <v>3</v>
      </c>
      <c r="BD19" s="177"/>
      <c r="BE19" s="173"/>
      <c r="BF19" s="173"/>
      <c r="BG19" s="173"/>
      <c r="BH19" s="173"/>
      <c r="BI19" s="173"/>
      <c r="BJ19" s="177">
        <v>3</v>
      </c>
      <c r="BK19" s="135">
        <f>IF(ISBLANK(Estudiantes310[[#This Row],[Columna57]]),Estudiantes310[[#This Row],[Columna59]],Estudiantes310[[#This Row],[Columna57]])</f>
        <v>3</v>
      </c>
      <c r="BL19" s="177"/>
      <c r="BM19" s="173"/>
      <c r="BN19" s="173"/>
      <c r="BO19" s="173"/>
      <c r="BP19" s="173"/>
      <c r="BQ19" s="173"/>
      <c r="BR19" s="177">
        <v>3</v>
      </c>
      <c r="BS19" s="135">
        <f>IF(ISBLANK(Estudiantes310[[#This Row],[Columna65]]),Estudiantes310[[#This Row],[Columna67]],Estudiantes310[[#This Row],[Columna65]])</f>
        <v>3</v>
      </c>
      <c r="BT19" s="177"/>
      <c r="BU19" s="173"/>
      <c r="BV19" s="173"/>
      <c r="BW19" s="173"/>
      <c r="BX19" s="173"/>
      <c r="BY19" s="173"/>
      <c r="BZ19" s="177">
        <v>3</v>
      </c>
      <c r="CA19" s="135">
        <f>IF(ISBLANK(Estudiantes310[[#This Row],[Columna73]]),Estudiantes310[[#This Row],[Columna75]],Estudiantes310[[#This Row],[Columna73]])</f>
        <v>3</v>
      </c>
      <c r="CB19" s="177"/>
      <c r="CC19" s="173"/>
      <c r="CD19" s="173"/>
      <c r="CE19" s="173"/>
      <c r="CF19" s="173"/>
      <c r="CG19" s="173"/>
      <c r="CH19" s="177"/>
      <c r="CI19" s="135">
        <f>IF(ISBLANK(Estudiantes310[[#This Row],[Columna81]]),Estudiantes310[[#This Row],[Columna83]],Estudiantes310[[#This Row],[Columna81]])</f>
        <v>0</v>
      </c>
      <c r="CJ19" s="177"/>
      <c r="CK19" s="173"/>
      <c r="CL19" s="173"/>
      <c r="CM19" s="173"/>
      <c r="CN19" s="173"/>
      <c r="CO19" s="173"/>
      <c r="CP19" s="177"/>
      <c r="CQ19" s="135">
        <f>IF(ISBLANK(Estudiantes310[[#This Row],[Columna89]]),Estudiantes310[[#This Row],[Columna91]],Estudiantes310[[#This Row],[Columna89]])</f>
        <v>0</v>
      </c>
      <c r="CR19" s="177"/>
      <c r="CS19" s="173"/>
      <c r="CT19" s="173"/>
      <c r="CU19" s="173"/>
      <c r="CV19" s="173"/>
      <c r="CW19" s="173"/>
      <c r="CX19" s="177"/>
      <c r="CY19" s="135">
        <f>IF(ISBLANK(Estudiantes310[[#This Row],[Columna97]]),Estudiantes310[[#This Row],[Columna99]],Estudiantes310[[#This Row],[Columna97]])</f>
        <v>0</v>
      </c>
      <c r="CZ19" s="177"/>
      <c r="DA19" s="173"/>
      <c r="DB19" s="173"/>
      <c r="DC19" s="173"/>
      <c r="DD19" s="173"/>
      <c r="DE19" s="173"/>
      <c r="DF19" s="177"/>
      <c r="DG19" s="135">
        <f>IF(ISBLANK(Estudiantes310[[#This Row],[Columna105]]),Estudiantes310[[#This Row],[Columna107]],Estudiantes310[[#This Row],[Columna105]])</f>
        <v>0</v>
      </c>
      <c r="DH19" s="177"/>
      <c r="DI19" s="173"/>
      <c r="DJ19" s="173"/>
      <c r="DK19" s="173"/>
      <c r="DL19" s="173"/>
      <c r="DM19" s="173"/>
      <c r="DN19" s="177"/>
      <c r="DO19" s="135">
        <f>IF(ISBLANK(Estudiantes310[[#This Row],[Columna113]]),Estudiantes310[[#This Row],[Columna115]],Estudiantes310[[#This Row],[Columna113]])</f>
        <v>0</v>
      </c>
      <c r="DP19" s="177"/>
      <c r="DQ19" s="173"/>
      <c r="DR19" s="173"/>
      <c r="DS19" s="173"/>
      <c r="DT19" s="173"/>
      <c r="DU19" s="173"/>
      <c r="DV19" s="177"/>
      <c r="DW19" s="135">
        <f>IF(ISBLANK(Estudiantes310[[#This Row],[Columna121]]),Estudiantes310[[#This Row],[Columna123]],Estudiantes310[[#This Row],[Columna121]])</f>
        <v>0</v>
      </c>
      <c r="DX19" s="177"/>
      <c r="DY19" s="173"/>
      <c r="DZ19" s="173"/>
      <c r="EA19" s="173"/>
      <c r="EB19" s="173"/>
      <c r="EC19" s="173"/>
      <c r="ED19" s="177"/>
      <c r="EE19" s="135">
        <f>IF(ISBLANK(Estudiantes310[[#This Row],[Columna129]]),Estudiantes310[[#This Row],[Columna131]],Estudiantes310[[#This Row],[Columna129]])</f>
        <v>0</v>
      </c>
      <c r="EF19" s="177"/>
      <c r="EG19" s="173"/>
      <c r="EH19" s="173"/>
      <c r="EI19" s="173"/>
      <c r="EJ19" s="173"/>
      <c r="EK19" s="173"/>
      <c r="EL19" s="177"/>
      <c r="EM19" s="135">
        <f>IF(ISBLANK(Estudiantes310[[#This Row],[Columna137]]),Estudiantes310[[#This Row],[Columna139]],Estudiantes310[[#This Row],[Columna137]])</f>
        <v>0</v>
      </c>
      <c r="EN19" s="177"/>
      <c r="EO19" s="173"/>
      <c r="EP19" s="173"/>
      <c r="EQ19" s="173"/>
      <c r="ER19" s="173"/>
      <c r="ES19" s="173"/>
      <c r="ET19" s="177"/>
      <c r="EU19" s="135">
        <f>IF(ISBLANK(Estudiantes310[[#This Row],[Columna145]]),Estudiantes310[[#This Row],[Columna147]],Estudiantes310[[#This Row],[Columna145]])</f>
        <v>0</v>
      </c>
      <c r="EV19" s="177"/>
      <c r="EW19" s="173"/>
      <c r="EX19" s="173"/>
      <c r="EY19" s="173"/>
      <c r="EZ19" s="173"/>
      <c r="FA19" s="173"/>
      <c r="FB19" s="177"/>
      <c r="FC19" s="135">
        <f>IF(ISBLANK(Estudiantes310[[#This Row],[Columna153]]),Estudiantes310[[#This Row],[Columna155]],Estudiantes310[[#This Row],[Columna153]])</f>
        <v>0</v>
      </c>
      <c r="FD19" s="177"/>
      <c r="FE19" s="173"/>
      <c r="FF19" s="173"/>
      <c r="FG19" s="173"/>
      <c r="FH19" s="173"/>
      <c r="FI19" s="173"/>
      <c r="FJ19" s="177"/>
      <c r="FK19" s="135">
        <f>IF(ISBLANK(Estudiantes310[[#This Row],[Columna161]]),Estudiantes310[[#This Row],[Columna163]],Estudiantes310[[#This Row],[Columna161]])</f>
        <v>0</v>
      </c>
      <c r="FL19" s="177"/>
      <c r="FM19" s="178">
        <f t="shared" si="1"/>
        <v>23</v>
      </c>
      <c r="FN19" s="135"/>
    </row>
    <row r="20" spans="1:170" ht="15.6" x14ac:dyDescent="0.3">
      <c r="A20" s="135" t="s">
        <v>286</v>
      </c>
      <c r="B20" s="135" t="s">
        <v>287</v>
      </c>
      <c r="C20" s="135" t="s">
        <v>288</v>
      </c>
      <c r="D20" s="164">
        <v>209100689</v>
      </c>
      <c r="E20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3</v>
      </c>
      <c r="F20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0" s="165">
        <f t="shared" si="0"/>
        <v>0</v>
      </c>
      <c r="H20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20" s="167"/>
      <c r="J20" s="168"/>
      <c r="K20" s="167"/>
      <c r="L20" s="168"/>
      <c r="M20" s="169"/>
      <c r="N20" s="170">
        <v>3</v>
      </c>
      <c r="O20" s="135">
        <f>IF(ISBLANK(Estudiantes310[[#This Row],[Columna10]]),Estudiantes310[[#This Row],[AJ]],Estudiantes310[[#This Row],[Columna10]])</f>
        <v>3</v>
      </c>
      <c r="P20" s="171"/>
      <c r="Q20" s="172"/>
      <c r="R20" s="173"/>
      <c r="S20" s="173"/>
      <c r="T20" s="173"/>
      <c r="U20" s="173"/>
      <c r="V20" s="174">
        <v>3</v>
      </c>
      <c r="W20" s="175">
        <f>IF(ISBLANK(Estudiantes310[[#This Row],[Columna17]]),Estudiantes310[[#This Row],[Columna19]],Estudiantes310[[#This Row],[Columna17]])</f>
        <v>3</v>
      </c>
      <c r="X20" s="176"/>
      <c r="Y20" s="173"/>
      <c r="Z20" s="173"/>
      <c r="AA20" s="173"/>
      <c r="AB20" s="173"/>
      <c r="AC20" s="173"/>
      <c r="AD20" s="177">
        <v>3</v>
      </c>
      <c r="AE20" s="135">
        <f>IF(ISBLANK(Estudiantes310[[#This Row],[Columna25]]),Estudiantes310[[#This Row],[Columna27]],Estudiantes310[[#This Row],[Columna25]])</f>
        <v>3</v>
      </c>
      <c r="AF20" s="177"/>
      <c r="AG20" s="173"/>
      <c r="AH20" s="173"/>
      <c r="AI20" s="173"/>
      <c r="AJ20" s="173"/>
      <c r="AK20" s="173"/>
      <c r="AL20" s="177">
        <v>3</v>
      </c>
      <c r="AM20" s="135">
        <f>IF(ISBLANK(Estudiantes310[[#This Row],[Columna33]]),Estudiantes310[[#This Row],[Columna35]],Estudiantes310[[#This Row],[Columna33]])</f>
        <v>3</v>
      </c>
      <c r="AN20" s="177"/>
      <c r="AO20" s="173"/>
      <c r="AP20" s="173"/>
      <c r="AQ20" s="173"/>
      <c r="AR20" s="173"/>
      <c r="AS20" s="173"/>
      <c r="AT20" s="177">
        <v>3</v>
      </c>
      <c r="AU20" s="135">
        <f>IF(ISBLANK(Estudiantes310[[#This Row],[Columna41]]),Estudiantes310[[#This Row],[Columna43]],Estudiantes310[[#This Row],[Columna41]])</f>
        <v>3</v>
      </c>
      <c r="AV20" s="177"/>
      <c r="AW20" s="173"/>
      <c r="AX20" s="173"/>
      <c r="AY20" s="173"/>
      <c r="AZ20" s="173"/>
      <c r="BA20" s="173"/>
      <c r="BB20" s="177">
        <v>3</v>
      </c>
      <c r="BC20" s="135">
        <f>IF(ISBLANK(Estudiantes310[[#This Row],[Columna49]]),Estudiantes310[[#This Row],[Columna51]],Estudiantes310[[#This Row],[Columna49]])</f>
        <v>3</v>
      </c>
      <c r="BD20" s="177"/>
      <c r="BE20" s="173"/>
      <c r="BF20" s="173"/>
      <c r="BG20" s="173"/>
      <c r="BH20" s="173"/>
      <c r="BI20" s="173"/>
      <c r="BJ20" s="177">
        <v>3</v>
      </c>
      <c r="BK20" s="135">
        <f>IF(ISBLANK(Estudiantes310[[#This Row],[Columna57]]),Estudiantes310[[#This Row],[Columna59]],Estudiantes310[[#This Row],[Columna57]])</f>
        <v>3</v>
      </c>
      <c r="BL20" s="177"/>
      <c r="BM20" s="173">
        <v>3</v>
      </c>
      <c r="BN20" s="173"/>
      <c r="BO20" s="173"/>
      <c r="BP20" s="173"/>
      <c r="BQ20" s="173"/>
      <c r="BR20" s="177"/>
      <c r="BS20" s="135">
        <f>IF(ISBLANK(Estudiantes310[[#This Row],[Columna65]]),Estudiantes310[[#This Row],[Columna67]],Estudiantes310[[#This Row],[Columna65]])</f>
        <v>0</v>
      </c>
      <c r="BT20" s="177"/>
      <c r="BU20" s="173"/>
      <c r="BV20" s="173"/>
      <c r="BW20" s="173"/>
      <c r="BX20" s="173"/>
      <c r="BY20" s="173"/>
      <c r="BZ20" s="177">
        <v>3</v>
      </c>
      <c r="CA20" s="135">
        <f>IF(ISBLANK(Estudiantes310[[#This Row],[Columna73]]),Estudiantes310[[#This Row],[Columna75]],Estudiantes310[[#This Row],[Columna73]])</f>
        <v>3</v>
      </c>
      <c r="CB20" s="177"/>
      <c r="CC20" s="173"/>
      <c r="CD20" s="173"/>
      <c r="CE20" s="173"/>
      <c r="CF20" s="173"/>
      <c r="CG20" s="173"/>
      <c r="CH20" s="177"/>
      <c r="CI20" s="135">
        <f>IF(ISBLANK(Estudiantes310[[#This Row],[Columna81]]),Estudiantes310[[#This Row],[Columna83]],Estudiantes310[[#This Row],[Columna81]])</f>
        <v>0</v>
      </c>
      <c r="CJ20" s="177"/>
      <c r="CK20" s="173"/>
      <c r="CL20" s="173"/>
      <c r="CM20" s="173"/>
      <c r="CN20" s="173"/>
      <c r="CO20" s="173"/>
      <c r="CP20" s="177"/>
      <c r="CQ20" s="135">
        <f>IF(ISBLANK(Estudiantes310[[#This Row],[Columna89]]),Estudiantes310[[#This Row],[Columna91]],Estudiantes310[[#This Row],[Columna89]])</f>
        <v>0</v>
      </c>
      <c r="CR20" s="177"/>
      <c r="CS20" s="173"/>
      <c r="CT20" s="173"/>
      <c r="CU20" s="173"/>
      <c r="CV20" s="173"/>
      <c r="CW20" s="173"/>
      <c r="CX20" s="177"/>
      <c r="CY20" s="135">
        <f>IF(ISBLANK(Estudiantes310[[#This Row],[Columna97]]),Estudiantes310[[#This Row],[Columna99]],Estudiantes310[[#This Row],[Columna97]])</f>
        <v>0</v>
      </c>
      <c r="CZ20" s="177"/>
      <c r="DA20" s="173"/>
      <c r="DB20" s="173"/>
      <c r="DC20" s="173"/>
      <c r="DD20" s="173"/>
      <c r="DE20" s="173"/>
      <c r="DF20" s="177"/>
      <c r="DG20" s="135">
        <f>IF(ISBLANK(Estudiantes310[[#This Row],[Columna105]]),Estudiantes310[[#This Row],[Columna107]],Estudiantes310[[#This Row],[Columna105]])</f>
        <v>0</v>
      </c>
      <c r="DH20" s="177"/>
      <c r="DI20" s="173"/>
      <c r="DJ20" s="173"/>
      <c r="DK20" s="173"/>
      <c r="DL20" s="173"/>
      <c r="DM20" s="173"/>
      <c r="DN20" s="177"/>
      <c r="DO20" s="135">
        <f>IF(ISBLANK(Estudiantes310[[#This Row],[Columna113]]),Estudiantes310[[#This Row],[Columna115]],Estudiantes310[[#This Row],[Columna113]])</f>
        <v>0</v>
      </c>
      <c r="DP20" s="177"/>
      <c r="DQ20" s="173"/>
      <c r="DR20" s="173"/>
      <c r="DS20" s="173"/>
      <c r="DT20" s="173"/>
      <c r="DU20" s="173"/>
      <c r="DV20" s="177"/>
      <c r="DW20" s="135">
        <f>IF(ISBLANK(Estudiantes310[[#This Row],[Columna121]]),Estudiantes310[[#This Row],[Columna123]],Estudiantes310[[#This Row],[Columna121]])</f>
        <v>0</v>
      </c>
      <c r="DX20" s="177"/>
      <c r="DY20" s="173"/>
      <c r="DZ20" s="173"/>
      <c r="EA20" s="173"/>
      <c r="EB20" s="173"/>
      <c r="EC20" s="173"/>
      <c r="ED20" s="177"/>
      <c r="EE20" s="135">
        <f>IF(ISBLANK(Estudiantes310[[#This Row],[Columna129]]),Estudiantes310[[#This Row],[Columna131]],Estudiantes310[[#This Row],[Columna129]])</f>
        <v>0</v>
      </c>
      <c r="EF20" s="177"/>
      <c r="EG20" s="173"/>
      <c r="EH20" s="173"/>
      <c r="EI20" s="173"/>
      <c r="EJ20" s="173"/>
      <c r="EK20" s="173"/>
      <c r="EL20" s="177"/>
      <c r="EM20" s="135">
        <f>IF(ISBLANK(Estudiantes310[[#This Row],[Columna137]]),Estudiantes310[[#This Row],[Columna139]],Estudiantes310[[#This Row],[Columna137]])</f>
        <v>0</v>
      </c>
      <c r="EN20" s="177"/>
      <c r="EO20" s="173"/>
      <c r="EP20" s="173"/>
      <c r="EQ20" s="173"/>
      <c r="ER20" s="173"/>
      <c r="ES20" s="173"/>
      <c r="ET20" s="177"/>
      <c r="EU20" s="135">
        <f>IF(ISBLANK(Estudiantes310[[#This Row],[Columna145]]),Estudiantes310[[#This Row],[Columna147]],Estudiantes310[[#This Row],[Columna145]])</f>
        <v>0</v>
      </c>
      <c r="EV20" s="177"/>
      <c r="EW20" s="173"/>
      <c r="EX20" s="173"/>
      <c r="EY20" s="173"/>
      <c r="EZ20" s="173"/>
      <c r="FA20" s="173"/>
      <c r="FB20" s="177"/>
      <c r="FC20" s="135">
        <f>IF(ISBLANK(Estudiantes310[[#This Row],[Columna153]]),Estudiantes310[[#This Row],[Columna155]],Estudiantes310[[#This Row],[Columna153]])</f>
        <v>0</v>
      </c>
      <c r="FD20" s="177"/>
      <c r="FE20" s="173"/>
      <c r="FF20" s="173"/>
      <c r="FG20" s="173"/>
      <c r="FH20" s="173"/>
      <c r="FI20" s="173"/>
      <c r="FJ20" s="177"/>
      <c r="FK20" s="135">
        <f>IF(ISBLANK(Estudiantes310[[#This Row],[Columna161]]),Estudiantes310[[#This Row],[Columna163]],Estudiantes310[[#This Row],[Columna161]])</f>
        <v>0</v>
      </c>
      <c r="FL20" s="177"/>
      <c r="FM20" s="178">
        <f t="shared" si="1"/>
        <v>20</v>
      </c>
      <c r="FN20" s="135"/>
    </row>
    <row r="21" spans="1:170" ht="15.6" x14ac:dyDescent="0.3">
      <c r="A21" s="135" t="s">
        <v>289</v>
      </c>
      <c r="B21" s="135" t="s">
        <v>290</v>
      </c>
      <c r="C21" s="135" t="s">
        <v>291</v>
      </c>
      <c r="D21" s="164">
        <v>209060003</v>
      </c>
      <c r="E21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21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1" s="165">
        <f t="shared" si="0"/>
        <v>0</v>
      </c>
      <c r="H21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21" s="167"/>
      <c r="J21" s="168"/>
      <c r="K21" s="167"/>
      <c r="L21" s="168"/>
      <c r="M21" s="169"/>
      <c r="N21" s="170">
        <v>3</v>
      </c>
      <c r="O21" s="135">
        <f>IF(ISBLANK(Estudiantes310[[#This Row],[Columna10]]),Estudiantes310[[#This Row],[AJ]],Estudiantes310[[#This Row],[Columna10]])</f>
        <v>3</v>
      </c>
      <c r="P21" s="171"/>
      <c r="Q21" s="172"/>
      <c r="R21" s="173"/>
      <c r="S21" s="173"/>
      <c r="T21" s="173"/>
      <c r="U21" s="173"/>
      <c r="V21" s="174">
        <v>3</v>
      </c>
      <c r="W21" s="175">
        <f>IF(ISBLANK(Estudiantes310[[#This Row],[Columna17]]),Estudiantes310[[#This Row],[Columna19]],Estudiantes310[[#This Row],[Columna17]])</f>
        <v>3</v>
      </c>
      <c r="X21" s="176"/>
      <c r="Y21" s="173"/>
      <c r="Z21" s="173"/>
      <c r="AA21" s="173"/>
      <c r="AB21" s="173"/>
      <c r="AC21" s="173"/>
      <c r="AD21" s="177">
        <v>3</v>
      </c>
      <c r="AE21" s="135">
        <f>IF(ISBLANK(Estudiantes310[[#This Row],[Columna25]]),Estudiantes310[[#This Row],[Columna27]],Estudiantes310[[#This Row],[Columna25]])</f>
        <v>3</v>
      </c>
      <c r="AF21" s="177"/>
      <c r="AG21" s="173"/>
      <c r="AH21" s="173"/>
      <c r="AI21" s="173"/>
      <c r="AJ21" s="173"/>
      <c r="AK21" s="173"/>
      <c r="AL21" s="177">
        <v>3</v>
      </c>
      <c r="AM21" s="135">
        <f>IF(ISBLANK(Estudiantes310[[#This Row],[Columna33]]),Estudiantes310[[#This Row],[Columna35]],Estudiantes310[[#This Row],[Columna33]])</f>
        <v>3</v>
      </c>
      <c r="AN21" s="177"/>
      <c r="AO21" s="173"/>
      <c r="AP21" s="173"/>
      <c r="AQ21" s="173"/>
      <c r="AR21" s="173"/>
      <c r="AS21" s="173"/>
      <c r="AT21" s="177">
        <v>3</v>
      </c>
      <c r="AU21" s="135">
        <f>IF(ISBLANK(Estudiantes310[[#This Row],[Columna41]]),Estudiantes310[[#This Row],[Columna43]],Estudiantes310[[#This Row],[Columna41]])</f>
        <v>3</v>
      </c>
      <c r="AV21" s="177"/>
      <c r="AW21" s="173"/>
      <c r="AX21" s="173"/>
      <c r="AY21" s="173"/>
      <c r="AZ21" s="173"/>
      <c r="BA21" s="173"/>
      <c r="BB21" s="177">
        <v>3</v>
      </c>
      <c r="BC21" s="135">
        <f>IF(ISBLANK(Estudiantes310[[#This Row],[Columna49]]),Estudiantes310[[#This Row],[Columna51]],Estudiantes310[[#This Row],[Columna49]])</f>
        <v>3</v>
      </c>
      <c r="BD21" s="177"/>
      <c r="BE21" s="173"/>
      <c r="BF21" s="173"/>
      <c r="BG21" s="173"/>
      <c r="BH21" s="173"/>
      <c r="BI21" s="173"/>
      <c r="BJ21" s="177">
        <v>3</v>
      </c>
      <c r="BK21" s="135">
        <f>IF(ISBLANK(Estudiantes310[[#This Row],[Columna57]]),Estudiantes310[[#This Row],[Columna59]],Estudiantes310[[#This Row],[Columna57]])</f>
        <v>3</v>
      </c>
      <c r="BL21" s="177"/>
      <c r="BM21" s="173"/>
      <c r="BN21" s="173"/>
      <c r="BO21" s="173"/>
      <c r="BP21" s="173"/>
      <c r="BQ21" s="173"/>
      <c r="BR21" s="177">
        <v>3</v>
      </c>
      <c r="BS21" s="135">
        <f>IF(ISBLANK(Estudiantes310[[#This Row],[Columna65]]),Estudiantes310[[#This Row],[Columna67]],Estudiantes310[[#This Row],[Columna65]])</f>
        <v>3</v>
      </c>
      <c r="BT21" s="177"/>
      <c r="BU21" s="173"/>
      <c r="BV21" s="173"/>
      <c r="BW21" s="173"/>
      <c r="BX21" s="173"/>
      <c r="BY21" s="173"/>
      <c r="BZ21" s="177">
        <v>3</v>
      </c>
      <c r="CA21" s="135">
        <f>IF(ISBLANK(Estudiantes310[[#This Row],[Columna73]]),Estudiantes310[[#This Row],[Columna75]],Estudiantes310[[#This Row],[Columna73]])</f>
        <v>3</v>
      </c>
      <c r="CB21" s="177"/>
      <c r="CC21" s="173"/>
      <c r="CD21" s="173"/>
      <c r="CE21" s="173"/>
      <c r="CF21" s="173"/>
      <c r="CG21" s="173"/>
      <c r="CH21" s="177"/>
      <c r="CI21" s="135">
        <f>IF(ISBLANK(Estudiantes310[[#This Row],[Columna81]]),Estudiantes310[[#This Row],[Columna83]],Estudiantes310[[#This Row],[Columna81]])</f>
        <v>0</v>
      </c>
      <c r="CJ21" s="177"/>
      <c r="CK21" s="173"/>
      <c r="CL21" s="173"/>
      <c r="CM21" s="173"/>
      <c r="CN21" s="173"/>
      <c r="CO21" s="173"/>
      <c r="CP21" s="177"/>
      <c r="CQ21" s="135">
        <f>IF(ISBLANK(Estudiantes310[[#This Row],[Columna89]]),Estudiantes310[[#This Row],[Columna91]],Estudiantes310[[#This Row],[Columna89]])</f>
        <v>0</v>
      </c>
      <c r="CR21" s="177"/>
      <c r="CS21" s="173"/>
      <c r="CT21" s="173"/>
      <c r="CU21" s="173"/>
      <c r="CV21" s="173"/>
      <c r="CW21" s="173"/>
      <c r="CX21" s="177"/>
      <c r="CY21" s="135">
        <f>IF(ISBLANK(Estudiantes310[[#This Row],[Columna97]]),Estudiantes310[[#This Row],[Columna99]],Estudiantes310[[#This Row],[Columna97]])</f>
        <v>0</v>
      </c>
      <c r="CZ21" s="177"/>
      <c r="DA21" s="173"/>
      <c r="DB21" s="173"/>
      <c r="DC21" s="173"/>
      <c r="DD21" s="173"/>
      <c r="DE21" s="173"/>
      <c r="DF21" s="177"/>
      <c r="DG21" s="135">
        <f>IF(ISBLANK(Estudiantes310[[#This Row],[Columna105]]),Estudiantes310[[#This Row],[Columna107]],Estudiantes310[[#This Row],[Columna105]])</f>
        <v>0</v>
      </c>
      <c r="DH21" s="177"/>
      <c r="DI21" s="173"/>
      <c r="DJ21" s="173"/>
      <c r="DK21" s="173"/>
      <c r="DL21" s="173"/>
      <c r="DM21" s="173"/>
      <c r="DN21" s="177"/>
      <c r="DO21" s="135">
        <f>IF(ISBLANK(Estudiantes310[[#This Row],[Columna113]]),Estudiantes310[[#This Row],[Columna115]],Estudiantes310[[#This Row],[Columna113]])</f>
        <v>0</v>
      </c>
      <c r="DP21" s="177"/>
      <c r="DQ21" s="173"/>
      <c r="DR21" s="173"/>
      <c r="DS21" s="173"/>
      <c r="DT21" s="173"/>
      <c r="DU21" s="173"/>
      <c r="DV21" s="177"/>
      <c r="DW21" s="135">
        <f>IF(ISBLANK(Estudiantes310[[#This Row],[Columna121]]),Estudiantes310[[#This Row],[Columna123]],Estudiantes310[[#This Row],[Columna121]])</f>
        <v>0</v>
      </c>
      <c r="DX21" s="177"/>
      <c r="DY21" s="173"/>
      <c r="DZ21" s="173"/>
      <c r="EA21" s="173"/>
      <c r="EB21" s="173"/>
      <c r="EC21" s="173"/>
      <c r="ED21" s="177"/>
      <c r="EE21" s="135">
        <f>IF(ISBLANK(Estudiantes310[[#This Row],[Columna129]]),Estudiantes310[[#This Row],[Columna131]],Estudiantes310[[#This Row],[Columna129]])</f>
        <v>0</v>
      </c>
      <c r="EF21" s="177"/>
      <c r="EG21" s="173"/>
      <c r="EH21" s="173"/>
      <c r="EI21" s="173"/>
      <c r="EJ21" s="173"/>
      <c r="EK21" s="173"/>
      <c r="EL21" s="177"/>
      <c r="EM21" s="135">
        <f>IF(ISBLANK(Estudiantes310[[#This Row],[Columna137]]),Estudiantes310[[#This Row],[Columna139]],Estudiantes310[[#This Row],[Columna137]])</f>
        <v>0</v>
      </c>
      <c r="EN21" s="177"/>
      <c r="EO21" s="173"/>
      <c r="EP21" s="173"/>
      <c r="EQ21" s="173"/>
      <c r="ER21" s="173"/>
      <c r="ES21" s="173"/>
      <c r="ET21" s="177"/>
      <c r="EU21" s="135">
        <f>IF(ISBLANK(Estudiantes310[[#This Row],[Columna145]]),Estudiantes310[[#This Row],[Columna147]],Estudiantes310[[#This Row],[Columna145]])</f>
        <v>0</v>
      </c>
      <c r="EV21" s="177"/>
      <c r="EW21" s="173"/>
      <c r="EX21" s="173"/>
      <c r="EY21" s="173"/>
      <c r="EZ21" s="173"/>
      <c r="FA21" s="173"/>
      <c r="FB21" s="177"/>
      <c r="FC21" s="135">
        <f>IF(ISBLANK(Estudiantes310[[#This Row],[Columna153]]),Estudiantes310[[#This Row],[Columna155]],Estudiantes310[[#This Row],[Columna153]])</f>
        <v>0</v>
      </c>
      <c r="FD21" s="177"/>
      <c r="FE21" s="173"/>
      <c r="FF21" s="173"/>
      <c r="FG21" s="173"/>
      <c r="FH21" s="173"/>
      <c r="FI21" s="173"/>
      <c r="FJ21" s="177"/>
      <c r="FK21" s="135">
        <f>IF(ISBLANK(Estudiantes310[[#This Row],[Columna161]]),Estudiantes310[[#This Row],[Columna163]],Estudiantes310[[#This Row],[Columna161]])</f>
        <v>0</v>
      </c>
      <c r="FL21" s="177"/>
      <c r="FM21" s="178">
        <f t="shared" si="1"/>
        <v>23</v>
      </c>
      <c r="FN21" s="135"/>
    </row>
    <row r="22" spans="1:170" ht="15.6" x14ac:dyDescent="0.3">
      <c r="A22" s="135" t="s">
        <v>292</v>
      </c>
      <c r="B22" s="135" t="s">
        <v>293</v>
      </c>
      <c r="C22" s="135" t="s">
        <v>294</v>
      </c>
      <c r="D22" s="164">
        <v>208980531</v>
      </c>
      <c r="E22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22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2" s="165">
        <f t="shared" si="0"/>
        <v>0</v>
      </c>
      <c r="H22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22" s="167"/>
      <c r="J22" s="168"/>
      <c r="K22" s="167"/>
      <c r="L22" s="168"/>
      <c r="M22" s="169"/>
      <c r="N22" s="170">
        <v>3</v>
      </c>
      <c r="O22" s="135">
        <f>IF(ISBLANK(Estudiantes310[[#This Row],[Columna10]]),Estudiantes310[[#This Row],[AJ]],Estudiantes310[[#This Row],[Columna10]])</f>
        <v>3</v>
      </c>
      <c r="P22" s="171"/>
      <c r="Q22" s="172"/>
      <c r="R22" s="173"/>
      <c r="S22" s="173"/>
      <c r="T22" s="173"/>
      <c r="U22" s="173"/>
      <c r="V22" s="174">
        <v>3</v>
      </c>
      <c r="W22" s="175">
        <f>IF(ISBLANK(Estudiantes310[[#This Row],[Columna17]]),Estudiantes310[[#This Row],[Columna19]],Estudiantes310[[#This Row],[Columna17]])</f>
        <v>3</v>
      </c>
      <c r="X22" s="176"/>
      <c r="Y22" s="173"/>
      <c r="Z22" s="173"/>
      <c r="AA22" s="173"/>
      <c r="AB22" s="173"/>
      <c r="AC22" s="173"/>
      <c r="AD22" s="177">
        <v>3</v>
      </c>
      <c r="AE22" s="135">
        <f>IF(ISBLANK(Estudiantes310[[#This Row],[Columna25]]),Estudiantes310[[#This Row],[Columna27]],Estudiantes310[[#This Row],[Columna25]])</f>
        <v>3</v>
      </c>
      <c r="AF22" s="177"/>
      <c r="AG22" s="173"/>
      <c r="AH22" s="173"/>
      <c r="AI22" s="173"/>
      <c r="AJ22" s="173"/>
      <c r="AK22" s="173"/>
      <c r="AL22" s="177">
        <v>3</v>
      </c>
      <c r="AM22" s="135">
        <f>IF(ISBLANK(Estudiantes310[[#This Row],[Columna33]]),Estudiantes310[[#This Row],[Columna35]],Estudiantes310[[#This Row],[Columna33]])</f>
        <v>3</v>
      </c>
      <c r="AN22" s="177"/>
      <c r="AO22" s="173"/>
      <c r="AP22" s="173"/>
      <c r="AQ22" s="173"/>
      <c r="AR22" s="173"/>
      <c r="AS22" s="173"/>
      <c r="AT22" s="177">
        <v>3</v>
      </c>
      <c r="AU22" s="135">
        <f>IF(ISBLANK(Estudiantes310[[#This Row],[Columna41]]),Estudiantes310[[#This Row],[Columna43]],Estudiantes310[[#This Row],[Columna41]])</f>
        <v>3</v>
      </c>
      <c r="AV22" s="177"/>
      <c r="AW22" s="173"/>
      <c r="AX22" s="173"/>
      <c r="AY22" s="173"/>
      <c r="AZ22" s="173"/>
      <c r="BA22" s="173"/>
      <c r="BB22" s="177">
        <v>3</v>
      </c>
      <c r="BC22" s="135">
        <f>IF(ISBLANK(Estudiantes310[[#This Row],[Columna49]]),Estudiantes310[[#This Row],[Columna51]],Estudiantes310[[#This Row],[Columna49]])</f>
        <v>3</v>
      </c>
      <c r="BD22" s="177"/>
      <c r="BE22" s="173"/>
      <c r="BF22" s="173"/>
      <c r="BG22" s="173"/>
      <c r="BH22" s="173"/>
      <c r="BI22" s="173"/>
      <c r="BJ22" s="177">
        <v>3</v>
      </c>
      <c r="BK22" s="135">
        <f>IF(ISBLANK(Estudiantes310[[#This Row],[Columna57]]),Estudiantes310[[#This Row],[Columna59]],Estudiantes310[[#This Row],[Columna57]])</f>
        <v>3</v>
      </c>
      <c r="BL22" s="177"/>
      <c r="BM22" s="173"/>
      <c r="BN22" s="173"/>
      <c r="BO22" s="173"/>
      <c r="BP22" s="173"/>
      <c r="BQ22" s="173"/>
      <c r="BR22" s="177">
        <v>3</v>
      </c>
      <c r="BS22" s="135">
        <f>IF(ISBLANK(Estudiantes310[[#This Row],[Columna65]]),Estudiantes310[[#This Row],[Columna67]],Estudiantes310[[#This Row],[Columna65]])</f>
        <v>3</v>
      </c>
      <c r="BT22" s="177"/>
      <c r="BU22" s="173"/>
      <c r="BV22" s="173"/>
      <c r="BW22" s="173"/>
      <c r="BX22" s="173"/>
      <c r="BY22" s="173"/>
      <c r="BZ22" s="177">
        <v>3</v>
      </c>
      <c r="CA22" s="135">
        <f>IF(ISBLANK(Estudiantes310[[#This Row],[Columna73]]),Estudiantes310[[#This Row],[Columna75]],Estudiantes310[[#This Row],[Columna73]])</f>
        <v>3</v>
      </c>
      <c r="CB22" s="177"/>
      <c r="CC22" s="173"/>
      <c r="CD22" s="173"/>
      <c r="CE22" s="173"/>
      <c r="CF22" s="173"/>
      <c r="CG22" s="173"/>
      <c r="CH22" s="177"/>
      <c r="CI22" s="135">
        <f>IF(ISBLANK(Estudiantes310[[#This Row],[Columna81]]),Estudiantes310[[#This Row],[Columna83]],Estudiantes310[[#This Row],[Columna81]])</f>
        <v>0</v>
      </c>
      <c r="CJ22" s="177"/>
      <c r="CK22" s="173"/>
      <c r="CL22" s="173"/>
      <c r="CM22" s="173"/>
      <c r="CN22" s="173"/>
      <c r="CO22" s="173"/>
      <c r="CP22" s="177"/>
      <c r="CQ22" s="135">
        <f>IF(ISBLANK(Estudiantes310[[#This Row],[Columna89]]),Estudiantes310[[#This Row],[Columna91]],Estudiantes310[[#This Row],[Columna89]])</f>
        <v>0</v>
      </c>
      <c r="CR22" s="177"/>
      <c r="CS22" s="173"/>
      <c r="CT22" s="173"/>
      <c r="CU22" s="173"/>
      <c r="CV22" s="173"/>
      <c r="CW22" s="173"/>
      <c r="CX22" s="177"/>
      <c r="CY22" s="135">
        <f>IF(ISBLANK(Estudiantes310[[#This Row],[Columna97]]),Estudiantes310[[#This Row],[Columna99]],Estudiantes310[[#This Row],[Columna97]])</f>
        <v>0</v>
      </c>
      <c r="CZ22" s="177"/>
      <c r="DA22" s="173"/>
      <c r="DB22" s="173"/>
      <c r="DC22" s="173"/>
      <c r="DD22" s="173"/>
      <c r="DE22" s="173"/>
      <c r="DF22" s="177"/>
      <c r="DG22" s="135">
        <f>IF(ISBLANK(Estudiantes310[[#This Row],[Columna105]]),Estudiantes310[[#This Row],[Columna107]],Estudiantes310[[#This Row],[Columna105]])</f>
        <v>0</v>
      </c>
      <c r="DH22" s="177"/>
      <c r="DI22" s="173"/>
      <c r="DJ22" s="173"/>
      <c r="DK22" s="173"/>
      <c r="DL22" s="173"/>
      <c r="DM22" s="173"/>
      <c r="DN22" s="177"/>
      <c r="DO22" s="135">
        <f>IF(ISBLANK(Estudiantes310[[#This Row],[Columna113]]),Estudiantes310[[#This Row],[Columna115]],Estudiantes310[[#This Row],[Columna113]])</f>
        <v>0</v>
      </c>
      <c r="DP22" s="177"/>
      <c r="DQ22" s="173"/>
      <c r="DR22" s="173"/>
      <c r="DS22" s="173"/>
      <c r="DT22" s="173"/>
      <c r="DU22" s="173"/>
      <c r="DV22" s="177"/>
      <c r="DW22" s="135">
        <f>IF(ISBLANK(Estudiantes310[[#This Row],[Columna121]]),Estudiantes310[[#This Row],[Columna123]],Estudiantes310[[#This Row],[Columna121]])</f>
        <v>0</v>
      </c>
      <c r="DX22" s="177"/>
      <c r="DY22" s="173"/>
      <c r="DZ22" s="173"/>
      <c r="EA22" s="173"/>
      <c r="EB22" s="173"/>
      <c r="EC22" s="173"/>
      <c r="ED22" s="177"/>
      <c r="EE22" s="135">
        <f>IF(ISBLANK(Estudiantes310[[#This Row],[Columna129]]),Estudiantes310[[#This Row],[Columna131]],Estudiantes310[[#This Row],[Columna129]])</f>
        <v>0</v>
      </c>
      <c r="EF22" s="177"/>
      <c r="EG22" s="173"/>
      <c r="EH22" s="173"/>
      <c r="EI22" s="173"/>
      <c r="EJ22" s="173"/>
      <c r="EK22" s="173"/>
      <c r="EL22" s="177"/>
      <c r="EM22" s="135">
        <f>IF(ISBLANK(Estudiantes310[[#This Row],[Columna137]]),Estudiantes310[[#This Row],[Columna139]],Estudiantes310[[#This Row],[Columna137]])</f>
        <v>0</v>
      </c>
      <c r="EN22" s="177"/>
      <c r="EO22" s="173"/>
      <c r="EP22" s="173"/>
      <c r="EQ22" s="173"/>
      <c r="ER22" s="173"/>
      <c r="ES22" s="173"/>
      <c r="ET22" s="177"/>
      <c r="EU22" s="135">
        <f>IF(ISBLANK(Estudiantes310[[#This Row],[Columna145]]),Estudiantes310[[#This Row],[Columna147]],Estudiantes310[[#This Row],[Columna145]])</f>
        <v>0</v>
      </c>
      <c r="EV22" s="177"/>
      <c r="EW22" s="173"/>
      <c r="EX22" s="173"/>
      <c r="EY22" s="173"/>
      <c r="EZ22" s="173"/>
      <c r="FA22" s="173"/>
      <c r="FB22" s="177"/>
      <c r="FC22" s="135">
        <f>IF(ISBLANK(Estudiantes310[[#This Row],[Columna153]]),Estudiantes310[[#This Row],[Columna155]],Estudiantes310[[#This Row],[Columna153]])</f>
        <v>0</v>
      </c>
      <c r="FD22" s="177"/>
      <c r="FE22" s="173"/>
      <c r="FF22" s="173"/>
      <c r="FG22" s="173"/>
      <c r="FH22" s="173"/>
      <c r="FI22" s="173"/>
      <c r="FJ22" s="177"/>
      <c r="FK22" s="135">
        <f>IF(ISBLANK(Estudiantes310[[#This Row],[Columna161]]),Estudiantes310[[#This Row],[Columna163]],Estudiantes310[[#This Row],[Columna161]])</f>
        <v>0</v>
      </c>
      <c r="FL22" s="177"/>
      <c r="FM22" s="178">
        <f t="shared" si="1"/>
        <v>23</v>
      </c>
      <c r="FN22" s="135"/>
    </row>
    <row r="23" spans="1:170" ht="15.6" x14ac:dyDescent="0.3">
      <c r="A23" s="135" t="s">
        <v>295</v>
      </c>
      <c r="B23" s="135" t="s">
        <v>296</v>
      </c>
      <c r="C23" s="135" t="s">
        <v>297</v>
      </c>
      <c r="D23" s="164">
        <v>208990532</v>
      </c>
      <c r="E23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3</v>
      </c>
      <c r="F23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3" s="165">
        <f t="shared" si="0"/>
        <v>0</v>
      </c>
      <c r="H23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3</v>
      </c>
      <c r="I23" s="167"/>
      <c r="J23" s="168"/>
      <c r="K23" s="167"/>
      <c r="L23" s="168"/>
      <c r="M23" s="169"/>
      <c r="N23" s="170">
        <v>3</v>
      </c>
      <c r="O23" s="135">
        <f>IF(ISBLANK(Estudiantes310[[#This Row],[Columna10]]),Estudiantes310[[#This Row],[AJ]],Estudiantes310[[#This Row],[Columna10]])</f>
        <v>3</v>
      </c>
      <c r="P23" s="171"/>
      <c r="Q23" s="172"/>
      <c r="R23" s="173"/>
      <c r="S23" s="173"/>
      <c r="T23" s="173"/>
      <c r="U23" s="173"/>
      <c r="V23" s="174">
        <v>3</v>
      </c>
      <c r="W23" s="175">
        <f>IF(ISBLANK(Estudiantes310[[#This Row],[Columna17]]),Estudiantes310[[#This Row],[Columna19]],Estudiantes310[[#This Row],[Columna17]])</f>
        <v>3</v>
      </c>
      <c r="X23" s="176"/>
      <c r="Y23" s="173"/>
      <c r="Z23" s="173"/>
      <c r="AA23" s="173"/>
      <c r="AB23" s="173"/>
      <c r="AC23" s="173"/>
      <c r="AD23" s="177">
        <v>3</v>
      </c>
      <c r="AE23" s="135">
        <f>IF(ISBLANK(Estudiantes310[[#This Row],[Columna25]]),Estudiantes310[[#This Row],[Columna27]],Estudiantes310[[#This Row],[Columna25]])</f>
        <v>3</v>
      </c>
      <c r="AF23" s="177"/>
      <c r="AG23" s="173"/>
      <c r="AH23" s="173"/>
      <c r="AI23" s="173"/>
      <c r="AJ23" s="173"/>
      <c r="AK23" s="173"/>
      <c r="AL23" s="177">
        <v>3</v>
      </c>
      <c r="AM23" s="135">
        <f>IF(ISBLANK(Estudiantes310[[#This Row],[Columna33]]),Estudiantes310[[#This Row],[Columna35]],Estudiantes310[[#This Row],[Columna33]])</f>
        <v>3</v>
      </c>
      <c r="AN23" s="177"/>
      <c r="AO23" s="173">
        <v>3</v>
      </c>
      <c r="AP23" s="173"/>
      <c r="AQ23" s="173"/>
      <c r="AR23" s="173"/>
      <c r="AS23" s="173"/>
      <c r="AT23" s="177"/>
      <c r="AU23" s="135">
        <f>IF(ISBLANK(Estudiantes310[[#This Row],[Columna41]]),Estudiantes310[[#This Row],[Columna43]],Estudiantes310[[#This Row],[Columna41]])</f>
        <v>0</v>
      </c>
      <c r="AV23" s="177"/>
      <c r="AW23" s="173"/>
      <c r="AX23" s="173"/>
      <c r="AY23" s="173"/>
      <c r="AZ23" s="173"/>
      <c r="BA23" s="173"/>
      <c r="BB23" s="177">
        <v>3</v>
      </c>
      <c r="BC23" s="135">
        <f>IF(ISBLANK(Estudiantes310[[#This Row],[Columna49]]),Estudiantes310[[#This Row],[Columna51]],Estudiantes310[[#This Row],[Columna49]])</f>
        <v>3</v>
      </c>
      <c r="BD23" s="177"/>
      <c r="BE23" s="173"/>
      <c r="BF23" s="173"/>
      <c r="BG23" s="173"/>
      <c r="BH23" s="173"/>
      <c r="BI23" s="173"/>
      <c r="BJ23" s="177">
        <v>3</v>
      </c>
      <c r="BK23" s="135">
        <f>IF(ISBLANK(Estudiantes310[[#This Row],[Columna57]]),Estudiantes310[[#This Row],[Columna59]],Estudiantes310[[#This Row],[Columna57]])</f>
        <v>3</v>
      </c>
      <c r="BL23" s="177"/>
      <c r="BM23" s="173"/>
      <c r="BN23" s="173"/>
      <c r="BO23" s="173"/>
      <c r="BP23" s="173"/>
      <c r="BQ23" s="173"/>
      <c r="BR23" s="177">
        <v>3</v>
      </c>
      <c r="BS23" s="135">
        <f>IF(ISBLANK(Estudiantes310[[#This Row],[Columna65]]),Estudiantes310[[#This Row],[Columna67]],Estudiantes310[[#This Row],[Columna65]])</f>
        <v>3</v>
      </c>
      <c r="BT23" s="177"/>
      <c r="BU23" s="173">
        <v>3</v>
      </c>
      <c r="BV23" s="173"/>
      <c r="BW23" s="173"/>
      <c r="BX23" s="173">
        <v>3</v>
      </c>
      <c r="BY23" s="173"/>
      <c r="BZ23" s="177">
        <v>3</v>
      </c>
      <c r="CA23" s="135">
        <f>IF(ISBLANK(Estudiantes310[[#This Row],[Columna73]]),Estudiantes310[[#This Row],[Columna75]],Estudiantes310[[#This Row],[Columna73]])</f>
        <v>3</v>
      </c>
      <c r="CB23" s="177"/>
      <c r="CC23" s="173"/>
      <c r="CD23" s="173"/>
      <c r="CE23" s="173"/>
      <c r="CF23" s="173"/>
      <c r="CG23" s="173"/>
      <c r="CH23" s="177"/>
      <c r="CI23" s="135">
        <f>IF(ISBLANK(Estudiantes310[[#This Row],[Columna81]]),Estudiantes310[[#This Row],[Columna83]],Estudiantes310[[#This Row],[Columna81]])</f>
        <v>0</v>
      </c>
      <c r="CJ23" s="177"/>
      <c r="CK23" s="173"/>
      <c r="CL23" s="173"/>
      <c r="CM23" s="173"/>
      <c r="CN23" s="173"/>
      <c r="CO23" s="173"/>
      <c r="CP23" s="177"/>
      <c r="CQ23" s="135">
        <f>IF(ISBLANK(Estudiantes310[[#This Row],[Columna89]]),Estudiantes310[[#This Row],[Columna91]],Estudiantes310[[#This Row],[Columna89]])</f>
        <v>0</v>
      </c>
      <c r="CR23" s="177"/>
      <c r="CS23" s="173"/>
      <c r="CT23" s="173"/>
      <c r="CU23" s="173"/>
      <c r="CV23" s="173"/>
      <c r="CW23" s="173"/>
      <c r="CX23" s="177"/>
      <c r="CY23" s="135">
        <f>IF(ISBLANK(Estudiantes310[[#This Row],[Columna97]]),Estudiantes310[[#This Row],[Columna99]],Estudiantes310[[#This Row],[Columna97]])</f>
        <v>0</v>
      </c>
      <c r="CZ23" s="177"/>
      <c r="DA23" s="173"/>
      <c r="DB23" s="173"/>
      <c r="DC23" s="173"/>
      <c r="DD23" s="173"/>
      <c r="DE23" s="173"/>
      <c r="DF23" s="177"/>
      <c r="DG23" s="135">
        <f>IF(ISBLANK(Estudiantes310[[#This Row],[Columna105]]),Estudiantes310[[#This Row],[Columna107]],Estudiantes310[[#This Row],[Columna105]])</f>
        <v>0</v>
      </c>
      <c r="DH23" s="177"/>
      <c r="DI23" s="173"/>
      <c r="DJ23" s="173"/>
      <c r="DK23" s="173"/>
      <c r="DL23" s="173"/>
      <c r="DM23" s="173"/>
      <c r="DN23" s="177"/>
      <c r="DO23" s="135">
        <f>IF(ISBLANK(Estudiantes310[[#This Row],[Columna113]]),Estudiantes310[[#This Row],[Columna115]],Estudiantes310[[#This Row],[Columna113]])</f>
        <v>0</v>
      </c>
      <c r="DP23" s="177"/>
      <c r="DQ23" s="173"/>
      <c r="DR23" s="173"/>
      <c r="DS23" s="173"/>
      <c r="DT23" s="173"/>
      <c r="DU23" s="173"/>
      <c r="DV23" s="177"/>
      <c r="DW23" s="135">
        <f>IF(ISBLANK(Estudiantes310[[#This Row],[Columna121]]),Estudiantes310[[#This Row],[Columna123]],Estudiantes310[[#This Row],[Columna121]])</f>
        <v>0</v>
      </c>
      <c r="DX23" s="177"/>
      <c r="DY23" s="173"/>
      <c r="DZ23" s="173"/>
      <c r="EA23" s="173"/>
      <c r="EB23" s="173"/>
      <c r="EC23" s="173"/>
      <c r="ED23" s="177"/>
      <c r="EE23" s="135">
        <f>IF(ISBLANK(Estudiantes310[[#This Row],[Columna129]]),Estudiantes310[[#This Row],[Columna131]],Estudiantes310[[#This Row],[Columna129]])</f>
        <v>0</v>
      </c>
      <c r="EF23" s="177"/>
      <c r="EG23" s="173"/>
      <c r="EH23" s="173"/>
      <c r="EI23" s="173"/>
      <c r="EJ23" s="173"/>
      <c r="EK23" s="173"/>
      <c r="EL23" s="177"/>
      <c r="EM23" s="135">
        <f>IF(ISBLANK(Estudiantes310[[#This Row],[Columna137]]),Estudiantes310[[#This Row],[Columna139]],Estudiantes310[[#This Row],[Columna137]])</f>
        <v>0</v>
      </c>
      <c r="EN23" s="177"/>
      <c r="EO23" s="173"/>
      <c r="EP23" s="173"/>
      <c r="EQ23" s="173"/>
      <c r="ER23" s="173"/>
      <c r="ES23" s="173"/>
      <c r="ET23" s="177"/>
      <c r="EU23" s="135">
        <f>IF(ISBLANK(Estudiantes310[[#This Row],[Columna145]]),Estudiantes310[[#This Row],[Columna147]],Estudiantes310[[#This Row],[Columna145]])</f>
        <v>0</v>
      </c>
      <c r="EV23" s="177"/>
      <c r="EW23" s="173"/>
      <c r="EX23" s="173"/>
      <c r="EY23" s="173"/>
      <c r="EZ23" s="173"/>
      <c r="FA23" s="173"/>
      <c r="FB23" s="177"/>
      <c r="FC23" s="135">
        <f>IF(ISBLANK(Estudiantes310[[#This Row],[Columna153]]),Estudiantes310[[#This Row],[Columna155]],Estudiantes310[[#This Row],[Columna153]])</f>
        <v>0</v>
      </c>
      <c r="FD23" s="177"/>
      <c r="FE23" s="173"/>
      <c r="FF23" s="173"/>
      <c r="FG23" s="173"/>
      <c r="FH23" s="173"/>
      <c r="FI23" s="173"/>
      <c r="FJ23" s="177"/>
      <c r="FK23" s="135">
        <f>IF(ISBLANK(Estudiantes310[[#This Row],[Columna161]]),Estudiantes310[[#This Row],[Columna163]],Estudiantes310[[#This Row],[Columna161]])</f>
        <v>0</v>
      </c>
      <c r="FL23" s="177"/>
      <c r="FM23" s="178">
        <f t="shared" si="1"/>
        <v>20</v>
      </c>
      <c r="FN23" s="135"/>
    </row>
    <row r="24" spans="1:170" ht="15.6" x14ac:dyDescent="0.3">
      <c r="A24" s="135" t="s">
        <v>298</v>
      </c>
      <c r="B24" s="135" t="s">
        <v>292</v>
      </c>
      <c r="C24" s="135" t="s">
        <v>299</v>
      </c>
      <c r="D24" s="164">
        <v>209040294</v>
      </c>
      <c r="E24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24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4" s="165">
        <f t="shared" si="0"/>
        <v>0</v>
      </c>
      <c r="H24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24" s="167"/>
      <c r="J24" s="168"/>
      <c r="K24" s="167"/>
      <c r="L24" s="168"/>
      <c r="M24" s="169"/>
      <c r="N24" s="170">
        <v>3</v>
      </c>
      <c r="O24" s="135">
        <f>IF(ISBLANK(Estudiantes310[[#This Row],[Columna10]]),Estudiantes310[[#This Row],[AJ]],Estudiantes310[[#This Row],[Columna10]])</f>
        <v>3</v>
      </c>
      <c r="P24" s="171"/>
      <c r="Q24" s="172"/>
      <c r="R24" s="173"/>
      <c r="S24" s="173"/>
      <c r="T24" s="173"/>
      <c r="U24" s="173"/>
      <c r="V24" s="174">
        <v>3</v>
      </c>
      <c r="W24" s="175">
        <f>IF(ISBLANK(Estudiantes310[[#This Row],[Columna17]]),Estudiantes310[[#This Row],[Columna19]],Estudiantes310[[#This Row],[Columna17]])</f>
        <v>3</v>
      </c>
      <c r="X24" s="176"/>
      <c r="Y24" s="173"/>
      <c r="Z24" s="173"/>
      <c r="AA24" s="173"/>
      <c r="AB24" s="173"/>
      <c r="AC24" s="173"/>
      <c r="AD24" s="177">
        <v>3</v>
      </c>
      <c r="AE24" s="135">
        <f>IF(ISBLANK(Estudiantes310[[#This Row],[Columna25]]),Estudiantes310[[#This Row],[Columna27]],Estudiantes310[[#This Row],[Columna25]])</f>
        <v>3</v>
      </c>
      <c r="AF24" s="177"/>
      <c r="AG24" s="173"/>
      <c r="AH24" s="173"/>
      <c r="AI24" s="173"/>
      <c r="AJ24" s="173"/>
      <c r="AK24" s="173"/>
      <c r="AL24" s="177">
        <v>3</v>
      </c>
      <c r="AM24" s="135">
        <f>IF(ISBLANK(Estudiantes310[[#This Row],[Columna33]]),Estudiantes310[[#This Row],[Columna35]],Estudiantes310[[#This Row],[Columna33]])</f>
        <v>3</v>
      </c>
      <c r="AN24" s="177"/>
      <c r="AO24" s="173"/>
      <c r="AP24" s="173"/>
      <c r="AQ24" s="173"/>
      <c r="AR24" s="173"/>
      <c r="AS24" s="173"/>
      <c r="AT24" s="177">
        <v>3</v>
      </c>
      <c r="AU24" s="135">
        <f>IF(ISBLANK(Estudiantes310[[#This Row],[Columna41]]),Estudiantes310[[#This Row],[Columna43]],Estudiantes310[[#This Row],[Columna41]])</f>
        <v>3</v>
      </c>
      <c r="AV24" s="177"/>
      <c r="AW24" s="173"/>
      <c r="AX24" s="173"/>
      <c r="AY24" s="173"/>
      <c r="AZ24" s="173"/>
      <c r="BA24" s="173"/>
      <c r="BB24" s="177">
        <v>3</v>
      </c>
      <c r="BC24" s="135">
        <f>IF(ISBLANK(Estudiantes310[[#This Row],[Columna49]]),Estudiantes310[[#This Row],[Columna51]],Estudiantes310[[#This Row],[Columna49]])</f>
        <v>3</v>
      </c>
      <c r="BD24" s="177"/>
      <c r="BE24" s="173"/>
      <c r="BF24" s="173"/>
      <c r="BG24" s="173"/>
      <c r="BH24" s="173"/>
      <c r="BI24" s="173"/>
      <c r="BJ24" s="177">
        <v>3</v>
      </c>
      <c r="BK24" s="135">
        <f>IF(ISBLANK(Estudiantes310[[#This Row],[Columna57]]),Estudiantes310[[#This Row],[Columna59]],Estudiantes310[[#This Row],[Columna57]])</f>
        <v>3</v>
      </c>
      <c r="BL24" s="177"/>
      <c r="BM24" s="173"/>
      <c r="BN24" s="173"/>
      <c r="BO24" s="173"/>
      <c r="BP24" s="173"/>
      <c r="BQ24" s="173"/>
      <c r="BR24" s="177">
        <v>3</v>
      </c>
      <c r="BS24" s="135">
        <f>IF(ISBLANK(Estudiantes310[[#This Row],[Columna65]]),Estudiantes310[[#This Row],[Columna67]],Estudiantes310[[#This Row],[Columna65]])</f>
        <v>3</v>
      </c>
      <c r="BT24" s="177"/>
      <c r="BU24" s="173"/>
      <c r="BV24" s="173"/>
      <c r="BW24" s="173"/>
      <c r="BX24" s="173"/>
      <c r="BY24" s="173"/>
      <c r="BZ24" s="177">
        <v>3</v>
      </c>
      <c r="CA24" s="135">
        <f>IF(ISBLANK(Estudiantes310[[#This Row],[Columna73]]),Estudiantes310[[#This Row],[Columna75]],Estudiantes310[[#This Row],[Columna73]])</f>
        <v>3</v>
      </c>
      <c r="CB24" s="177"/>
      <c r="CC24" s="173"/>
      <c r="CD24" s="173"/>
      <c r="CE24" s="173"/>
      <c r="CF24" s="173"/>
      <c r="CG24" s="173"/>
      <c r="CH24" s="177"/>
      <c r="CI24" s="135">
        <f>IF(ISBLANK(Estudiantes310[[#This Row],[Columna81]]),Estudiantes310[[#This Row],[Columna83]],Estudiantes310[[#This Row],[Columna81]])</f>
        <v>0</v>
      </c>
      <c r="CJ24" s="177"/>
      <c r="CK24" s="173"/>
      <c r="CL24" s="173"/>
      <c r="CM24" s="173"/>
      <c r="CN24" s="173"/>
      <c r="CO24" s="173"/>
      <c r="CP24" s="177"/>
      <c r="CQ24" s="135">
        <f>IF(ISBLANK(Estudiantes310[[#This Row],[Columna89]]),Estudiantes310[[#This Row],[Columna91]],Estudiantes310[[#This Row],[Columna89]])</f>
        <v>0</v>
      </c>
      <c r="CR24" s="177"/>
      <c r="CS24" s="173"/>
      <c r="CT24" s="173"/>
      <c r="CU24" s="173"/>
      <c r="CV24" s="173"/>
      <c r="CW24" s="173"/>
      <c r="CX24" s="177"/>
      <c r="CY24" s="135">
        <f>IF(ISBLANK(Estudiantes310[[#This Row],[Columna97]]),Estudiantes310[[#This Row],[Columna99]],Estudiantes310[[#This Row],[Columna97]])</f>
        <v>0</v>
      </c>
      <c r="CZ24" s="177"/>
      <c r="DA24" s="173"/>
      <c r="DB24" s="173"/>
      <c r="DC24" s="173"/>
      <c r="DD24" s="173"/>
      <c r="DE24" s="173"/>
      <c r="DF24" s="177"/>
      <c r="DG24" s="135">
        <f>IF(ISBLANK(Estudiantes310[[#This Row],[Columna105]]),Estudiantes310[[#This Row],[Columna107]],Estudiantes310[[#This Row],[Columna105]])</f>
        <v>0</v>
      </c>
      <c r="DH24" s="177"/>
      <c r="DI24" s="173"/>
      <c r="DJ24" s="173"/>
      <c r="DK24" s="173"/>
      <c r="DL24" s="173"/>
      <c r="DM24" s="173"/>
      <c r="DN24" s="177"/>
      <c r="DO24" s="135">
        <f>IF(ISBLANK(Estudiantes310[[#This Row],[Columna113]]),Estudiantes310[[#This Row],[Columna115]],Estudiantes310[[#This Row],[Columna113]])</f>
        <v>0</v>
      </c>
      <c r="DP24" s="177"/>
      <c r="DQ24" s="173"/>
      <c r="DR24" s="173"/>
      <c r="DS24" s="173"/>
      <c r="DT24" s="173"/>
      <c r="DU24" s="173"/>
      <c r="DV24" s="177"/>
      <c r="DW24" s="135">
        <f>IF(ISBLANK(Estudiantes310[[#This Row],[Columna121]]),Estudiantes310[[#This Row],[Columna123]],Estudiantes310[[#This Row],[Columna121]])</f>
        <v>0</v>
      </c>
      <c r="DX24" s="177"/>
      <c r="DY24" s="173"/>
      <c r="DZ24" s="173"/>
      <c r="EA24" s="173"/>
      <c r="EB24" s="173"/>
      <c r="EC24" s="173"/>
      <c r="ED24" s="177"/>
      <c r="EE24" s="135">
        <f>IF(ISBLANK(Estudiantes310[[#This Row],[Columna129]]),Estudiantes310[[#This Row],[Columna131]],Estudiantes310[[#This Row],[Columna129]])</f>
        <v>0</v>
      </c>
      <c r="EF24" s="177"/>
      <c r="EG24" s="173"/>
      <c r="EH24" s="173"/>
      <c r="EI24" s="173"/>
      <c r="EJ24" s="173"/>
      <c r="EK24" s="173"/>
      <c r="EL24" s="177"/>
      <c r="EM24" s="135">
        <f>IF(ISBLANK(Estudiantes310[[#This Row],[Columna137]]),Estudiantes310[[#This Row],[Columna139]],Estudiantes310[[#This Row],[Columna137]])</f>
        <v>0</v>
      </c>
      <c r="EN24" s="177"/>
      <c r="EO24" s="173"/>
      <c r="EP24" s="173"/>
      <c r="EQ24" s="173"/>
      <c r="ER24" s="173"/>
      <c r="ES24" s="173"/>
      <c r="ET24" s="177"/>
      <c r="EU24" s="135">
        <f>IF(ISBLANK(Estudiantes310[[#This Row],[Columna145]]),Estudiantes310[[#This Row],[Columna147]],Estudiantes310[[#This Row],[Columna145]])</f>
        <v>0</v>
      </c>
      <c r="EV24" s="177"/>
      <c r="EW24" s="173"/>
      <c r="EX24" s="173"/>
      <c r="EY24" s="173"/>
      <c r="EZ24" s="173"/>
      <c r="FA24" s="173"/>
      <c r="FB24" s="177"/>
      <c r="FC24" s="135">
        <f>IF(ISBLANK(Estudiantes310[[#This Row],[Columna153]]),Estudiantes310[[#This Row],[Columna155]],Estudiantes310[[#This Row],[Columna153]])</f>
        <v>0</v>
      </c>
      <c r="FD24" s="177"/>
      <c r="FE24" s="173"/>
      <c r="FF24" s="173"/>
      <c r="FG24" s="173"/>
      <c r="FH24" s="173"/>
      <c r="FI24" s="173"/>
      <c r="FJ24" s="177"/>
      <c r="FK24" s="135">
        <f>IF(ISBLANK(Estudiantes310[[#This Row],[Columna161]]),Estudiantes310[[#This Row],[Columna163]],Estudiantes310[[#This Row],[Columna161]])</f>
        <v>0</v>
      </c>
      <c r="FL24" s="177"/>
      <c r="FM24" s="178">
        <f t="shared" si="1"/>
        <v>23</v>
      </c>
      <c r="FN24" s="135"/>
    </row>
    <row r="25" spans="1:170" ht="15.6" x14ac:dyDescent="0.3">
      <c r="A25" s="135" t="s">
        <v>266</v>
      </c>
      <c r="B25" s="135" t="s">
        <v>300</v>
      </c>
      <c r="C25" s="135" t="s">
        <v>301</v>
      </c>
      <c r="D25" s="164">
        <v>209020129</v>
      </c>
      <c r="E25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25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5" s="165">
        <f t="shared" si="0"/>
        <v>0</v>
      </c>
      <c r="H25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0</v>
      </c>
      <c r="I25" s="167"/>
      <c r="J25" s="168"/>
      <c r="K25" s="167"/>
      <c r="L25" s="168"/>
      <c r="M25" s="169"/>
      <c r="N25" s="170">
        <v>3</v>
      </c>
      <c r="O25" s="135">
        <f>IF(ISBLANK(Estudiantes310[[#This Row],[Columna10]]),Estudiantes310[[#This Row],[AJ]],Estudiantes310[[#This Row],[Columna10]])</f>
        <v>3</v>
      </c>
      <c r="P25" s="171"/>
      <c r="Q25" s="172"/>
      <c r="R25" s="173"/>
      <c r="S25" s="173"/>
      <c r="T25" s="173"/>
      <c r="U25" s="173"/>
      <c r="V25" s="174">
        <v>3</v>
      </c>
      <c r="W25" s="175">
        <f>IF(ISBLANK(Estudiantes310[[#This Row],[Columna17]]),Estudiantes310[[#This Row],[Columna19]],Estudiantes310[[#This Row],[Columna17]])</f>
        <v>3</v>
      </c>
      <c r="X25" s="176"/>
      <c r="Y25" s="173"/>
      <c r="Z25" s="173"/>
      <c r="AA25" s="173"/>
      <c r="AB25" s="173"/>
      <c r="AC25" s="173"/>
      <c r="AD25" s="177">
        <v>3</v>
      </c>
      <c r="AE25" s="135">
        <f>IF(ISBLANK(Estudiantes310[[#This Row],[Columna25]]),Estudiantes310[[#This Row],[Columna27]],Estudiantes310[[#This Row],[Columna25]])</f>
        <v>3</v>
      </c>
      <c r="AF25" s="177"/>
      <c r="AG25" s="173"/>
      <c r="AH25" s="173"/>
      <c r="AI25" s="173"/>
      <c r="AJ25" s="173"/>
      <c r="AK25" s="173"/>
      <c r="AL25" s="177">
        <v>3</v>
      </c>
      <c r="AM25" s="135">
        <f>IF(ISBLANK(Estudiantes310[[#This Row],[Columna33]]),Estudiantes310[[#This Row],[Columna35]],Estudiantes310[[#This Row],[Columna33]])</f>
        <v>3</v>
      </c>
      <c r="AN25" s="177"/>
      <c r="AO25" s="173"/>
      <c r="AP25" s="173"/>
      <c r="AQ25" s="173"/>
      <c r="AR25" s="173"/>
      <c r="AS25" s="173"/>
      <c r="AT25" s="177">
        <v>3</v>
      </c>
      <c r="AU25" s="135">
        <f>IF(ISBLANK(Estudiantes310[[#This Row],[Columna41]]),Estudiantes310[[#This Row],[Columna43]],Estudiantes310[[#This Row],[Columna41]])</f>
        <v>3</v>
      </c>
      <c r="AV25" s="177"/>
      <c r="AW25" s="173"/>
      <c r="AX25" s="173"/>
      <c r="AY25" s="173"/>
      <c r="AZ25" s="173"/>
      <c r="BA25" s="173"/>
      <c r="BB25" s="177">
        <v>3</v>
      </c>
      <c r="BC25" s="135">
        <f>IF(ISBLANK(Estudiantes310[[#This Row],[Columna49]]),Estudiantes310[[#This Row],[Columna51]],Estudiantes310[[#This Row],[Columna49]])</f>
        <v>3</v>
      </c>
      <c r="BD25" s="177"/>
      <c r="BE25" s="173"/>
      <c r="BF25" s="173"/>
      <c r="BG25" s="173"/>
      <c r="BH25" s="173"/>
      <c r="BI25" s="173"/>
      <c r="BJ25" s="177">
        <v>3</v>
      </c>
      <c r="BK25" s="135">
        <f>IF(ISBLANK(Estudiantes310[[#This Row],[Columna57]]),Estudiantes310[[#This Row],[Columna59]],Estudiantes310[[#This Row],[Columna57]])</f>
        <v>3</v>
      </c>
      <c r="BL25" s="177"/>
      <c r="BM25" s="173"/>
      <c r="BN25" s="173"/>
      <c r="BO25" s="173"/>
      <c r="BP25" s="173"/>
      <c r="BQ25" s="173"/>
      <c r="BR25" s="177">
        <v>3</v>
      </c>
      <c r="BS25" s="135">
        <f>IF(ISBLANK(Estudiantes310[[#This Row],[Columna65]]),Estudiantes310[[#This Row],[Columna67]],Estudiantes310[[#This Row],[Columna65]])</f>
        <v>3</v>
      </c>
      <c r="BT25" s="177"/>
      <c r="BU25" s="173"/>
      <c r="BV25" s="173"/>
      <c r="BW25" s="173"/>
      <c r="BX25" s="173"/>
      <c r="BY25" s="173"/>
      <c r="BZ25" s="177">
        <v>3</v>
      </c>
      <c r="CA25" s="135">
        <f>IF(ISBLANK(Estudiantes310[[#This Row],[Columna73]]),Estudiantes310[[#This Row],[Columna75]],Estudiantes310[[#This Row],[Columna73]])</f>
        <v>3</v>
      </c>
      <c r="CB25" s="177"/>
      <c r="CC25" s="173"/>
      <c r="CD25" s="173"/>
      <c r="CE25" s="173"/>
      <c r="CF25" s="173"/>
      <c r="CG25" s="173"/>
      <c r="CH25" s="177"/>
      <c r="CI25" s="135">
        <f>IF(ISBLANK(Estudiantes310[[#This Row],[Columna81]]),Estudiantes310[[#This Row],[Columna83]],Estudiantes310[[#This Row],[Columna81]])</f>
        <v>0</v>
      </c>
      <c r="CJ25" s="177"/>
      <c r="CK25" s="173"/>
      <c r="CL25" s="173"/>
      <c r="CM25" s="173"/>
      <c r="CN25" s="173"/>
      <c r="CO25" s="173"/>
      <c r="CP25" s="177"/>
      <c r="CQ25" s="135">
        <f>IF(ISBLANK(Estudiantes310[[#This Row],[Columna89]]),Estudiantes310[[#This Row],[Columna91]],Estudiantes310[[#This Row],[Columna89]])</f>
        <v>0</v>
      </c>
      <c r="CR25" s="177"/>
      <c r="CS25" s="173"/>
      <c r="CT25" s="173"/>
      <c r="CU25" s="173"/>
      <c r="CV25" s="173"/>
      <c r="CW25" s="173"/>
      <c r="CX25" s="177"/>
      <c r="CY25" s="135">
        <f>IF(ISBLANK(Estudiantes310[[#This Row],[Columna97]]),Estudiantes310[[#This Row],[Columna99]],Estudiantes310[[#This Row],[Columna97]])</f>
        <v>0</v>
      </c>
      <c r="CZ25" s="177"/>
      <c r="DA25" s="173"/>
      <c r="DB25" s="173"/>
      <c r="DC25" s="173"/>
      <c r="DD25" s="173"/>
      <c r="DE25" s="173"/>
      <c r="DF25" s="177"/>
      <c r="DG25" s="135">
        <f>IF(ISBLANK(Estudiantes310[[#This Row],[Columna105]]),Estudiantes310[[#This Row],[Columna107]],Estudiantes310[[#This Row],[Columna105]])</f>
        <v>0</v>
      </c>
      <c r="DH25" s="177"/>
      <c r="DI25" s="173"/>
      <c r="DJ25" s="173"/>
      <c r="DK25" s="173"/>
      <c r="DL25" s="173"/>
      <c r="DM25" s="173"/>
      <c r="DN25" s="177"/>
      <c r="DO25" s="135">
        <f>IF(ISBLANK(Estudiantes310[[#This Row],[Columna113]]),Estudiantes310[[#This Row],[Columna115]],Estudiantes310[[#This Row],[Columna113]])</f>
        <v>0</v>
      </c>
      <c r="DP25" s="177"/>
      <c r="DQ25" s="173"/>
      <c r="DR25" s="173"/>
      <c r="DS25" s="173"/>
      <c r="DT25" s="173"/>
      <c r="DU25" s="173"/>
      <c r="DV25" s="177"/>
      <c r="DW25" s="135">
        <f>IF(ISBLANK(Estudiantes310[[#This Row],[Columna121]]),Estudiantes310[[#This Row],[Columna123]],Estudiantes310[[#This Row],[Columna121]])</f>
        <v>0</v>
      </c>
      <c r="DX25" s="177"/>
      <c r="DY25" s="173"/>
      <c r="DZ25" s="173"/>
      <c r="EA25" s="173"/>
      <c r="EB25" s="173"/>
      <c r="EC25" s="173"/>
      <c r="ED25" s="177"/>
      <c r="EE25" s="135">
        <f>IF(ISBLANK(Estudiantes310[[#This Row],[Columna129]]),Estudiantes310[[#This Row],[Columna131]],Estudiantes310[[#This Row],[Columna129]])</f>
        <v>0</v>
      </c>
      <c r="EF25" s="177"/>
      <c r="EG25" s="173"/>
      <c r="EH25" s="173"/>
      <c r="EI25" s="173"/>
      <c r="EJ25" s="173"/>
      <c r="EK25" s="173"/>
      <c r="EL25" s="177"/>
      <c r="EM25" s="135">
        <f>IF(ISBLANK(Estudiantes310[[#This Row],[Columna137]]),Estudiantes310[[#This Row],[Columna139]],Estudiantes310[[#This Row],[Columna137]])</f>
        <v>0</v>
      </c>
      <c r="EN25" s="177"/>
      <c r="EO25" s="173"/>
      <c r="EP25" s="173"/>
      <c r="EQ25" s="173"/>
      <c r="ER25" s="173"/>
      <c r="ES25" s="173"/>
      <c r="ET25" s="177"/>
      <c r="EU25" s="135">
        <f>IF(ISBLANK(Estudiantes310[[#This Row],[Columna145]]),Estudiantes310[[#This Row],[Columna147]],Estudiantes310[[#This Row],[Columna145]])</f>
        <v>0</v>
      </c>
      <c r="EV25" s="177"/>
      <c r="EW25" s="173"/>
      <c r="EX25" s="173"/>
      <c r="EY25" s="173"/>
      <c r="EZ25" s="173"/>
      <c r="FA25" s="173"/>
      <c r="FB25" s="177"/>
      <c r="FC25" s="135">
        <f>IF(ISBLANK(Estudiantes310[[#This Row],[Columna153]]),Estudiantes310[[#This Row],[Columna155]],Estudiantes310[[#This Row],[Columna153]])</f>
        <v>0</v>
      </c>
      <c r="FD25" s="177"/>
      <c r="FE25" s="173"/>
      <c r="FF25" s="173"/>
      <c r="FG25" s="173"/>
      <c r="FH25" s="173"/>
      <c r="FI25" s="173"/>
      <c r="FJ25" s="177"/>
      <c r="FK25" s="135">
        <f>IF(ISBLANK(Estudiantes310[[#This Row],[Columna161]]),Estudiantes310[[#This Row],[Columna163]],Estudiantes310[[#This Row],[Columna161]])</f>
        <v>0</v>
      </c>
      <c r="FL25" s="177"/>
      <c r="FM25" s="178">
        <f t="shared" si="1"/>
        <v>23</v>
      </c>
      <c r="FN25" s="135"/>
    </row>
    <row r="26" spans="1:170" ht="15.6" x14ac:dyDescent="0.3">
      <c r="A26" s="135" t="s">
        <v>287</v>
      </c>
      <c r="B26" s="135" t="s">
        <v>302</v>
      </c>
      <c r="C26" s="135" t="s">
        <v>303</v>
      </c>
      <c r="D26" s="164">
        <v>208980881</v>
      </c>
      <c r="E26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0</v>
      </c>
      <c r="F26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6" s="165">
        <f t="shared" si="0"/>
        <v>0</v>
      </c>
      <c r="H26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3</v>
      </c>
      <c r="I26" s="167">
        <v>3</v>
      </c>
      <c r="J26" s="168"/>
      <c r="K26" s="167"/>
      <c r="L26" s="168">
        <v>3</v>
      </c>
      <c r="M26" s="169"/>
      <c r="N26" s="170">
        <v>3</v>
      </c>
      <c r="O26" s="135">
        <f>IF(ISBLANK(Estudiantes310[[#This Row],[Columna10]]),Estudiantes310[[#This Row],[AJ]],Estudiantes310[[#This Row],[Columna10]])</f>
        <v>3</v>
      </c>
      <c r="P26" s="171"/>
      <c r="Q26" s="172"/>
      <c r="R26" s="173"/>
      <c r="S26" s="173"/>
      <c r="T26" s="173"/>
      <c r="U26" s="173"/>
      <c r="V26" s="174">
        <v>3</v>
      </c>
      <c r="W26" s="175">
        <f>IF(ISBLANK(Estudiantes310[[#This Row],[Columna17]]),Estudiantes310[[#This Row],[Columna19]],Estudiantes310[[#This Row],[Columna17]])</f>
        <v>3</v>
      </c>
      <c r="X26" s="176"/>
      <c r="Y26" s="173"/>
      <c r="Z26" s="173"/>
      <c r="AA26" s="173"/>
      <c r="AB26" s="173"/>
      <c r="AC26" s="173"/>
      <c r="AD26" s="177">
        <v>3</v>
      </c>
      <c r="AE26" s="135">
        <f>IF(ISBLANK(Estudiantes310[[#This Row],[Columna25]]),Estudiantes310[[#This Row],[Columna27]],Estudiantes310[[#This Row],[Columna25]])</f>
        <v>3</v>
      </c>
      <c r="AF26" s="177"/>
      <c r="AG26" s="173"/>
      <c r="AH26" s="173"/>
      <c r="AI26" s="173"/>
      <c r="AJ26" s="173"/>
      <c r="AK26" s="173"/>
      <c r="AL26" s="177">
        <v>3</v>
      </c>
      <c r="AM26" s="135">
        <f>IF(ISBLANK(Estudiantes310[[#This Row],[Columna33]]),Estudiantes310[[#This Row],[Columna35]],Estudiantes310[[#This Row],[Columna33]])</f>
        <v>3</v>
      </c>
      <c r="AN26" s="177"/>
      <c r="AO26" s="173"/>
      <c r="AP26" s="173"/>
      <c r="AQ26" s="173"/>
      <c r="AR26" s="173"/>
      <c r="AS26" s="173"/>
      <c r="AT26" s="177">
        <v>3</v>
      </c>
      <c r="AU26" s="135">
        <f>IF(ISBLANK(Estudiantes310[[#This Row],[Columna41]]),Estudiantes310[[#This Row],[Columna43]],Estudiantes310[[#This Row],[Columna41]])</f>
        <v>3</v>
      </c>
      <c r="AV26" s="177"/>
      <c r="AW26" s="173"/>
      <c r="AX26" s="173"/>
      <c r="AY26" s="173"/>
      <c r="AZ26" s="173"/>
      <c r="BA26" s="173"/>
      <c r="BB26" s="177">
        <v>3</v>
      </c>
      <c r="BC26" s="135">
        <f>IF(ISBLANK(Estudiantes310[[#This Row],[Columna49]]),Estudiantes310[[#This Row],[Columna51]],Estudiantes310[[#This Row],[Columna49]])</f>
        <v>3</v>
      </c>
      <c r="BD26" s="177"/>
      <c r="BE26" s="173"/>
      <c r="BF26" s="173"/>
      <c r="BG26" s="173"/>
      <c r="BH26" s="173"/>
      <c r="BI26" s="173"/>
      <c r="BJ26" s="177">
        <v>3</v>
      </c>
      <c r="BK26" s="135">
        <f>IF(ISBLANK(Estudiantes310[[#This Row],[Columna57]]),Estudiantes310[[#This Row],[Columna59]],Estudiantes310[[#This Row],[Columna57]])</f>
        <v>3</v>
      </c>
      <c r="BL26" s="177"/>
      <c r="BM26" s="173"/>
      <c r="BN26" s="173"/>
      <c r="BO26" s="173"/>
      <c r="BP26" s="173"/>
      <c r="BQ26" s="173"/>
      <c r="BR26" s="177">
        <v>3</v>
      </c>
      <c r="BS26" s="135">
        <f>IF(ISBLANK(Estudiantes310[[#This Row],[Columna65]]),Estudiantes310[[#This Row],[Columna67]],Estudiantes310[[#This Row],[Columna65]])</f>
        <v>3</v>
      </c>
      <c r="BT26" s="177"/>
      <c r="BU26" s="173"/>
      <c r="BV26" s="173"/>
      <c r="BW26" s="173"/>
      <c r="BX26" s="173"/>
      <c r="BY26" s="173"/>
      <c r="BZ26" s="177">
        <v>3</v>
      </c>
      <c r="CA26" s="135">
        <f>IF(ISBLANK(Estudiantes310[[#This Row],[Columna73]]),Estudiantes310[[#This Row],[Columna75]],Estudiantes310[[#This Row],[Columna73]])</f>
        <v>3</v>
      </c>
      <c r="CB26" s="177"/>
      <c r="CC26" s="173"/>
      <c r="CD26" s="173"/>
      <c r="CE26" s="173"/>
      <c r="CF26" s="173"/>
      <c r="CG26" s="173"/>
      <c r="CH26" s="177"/>
      <c r="CI26" s="135">
        <f>IF(ISBLANK(Estudiantes310[[#This Row],[Columna81]]),Estudiantes310[[#This Row],[Columna83]],Estudiantes310[[#This Row],[Columna81]])</f>
        <v>0</v>
      </c>
      <c r="CJ26" s="177"/>
      <c r="CK26" s="173"/>
      <c r="CL26" s="173"/>
      <c r="CM26" s="173"/>
      <c r="CN26" s="173"/>
      <c r="CO26" s="173"/>
      <c r="CP26" s="177"/>
      <c r="CQ26" s="135">
        <f>IF(ISBLANK(Estudiantes310[[#This Row],[Columna89]]),Estudiantes310[[#This Row],[Columna91]],Estudiantes310[[#This Row],[Columna89]])</f>
        <v>0</v>
      </c>
      <c r="CR26" s="177"/>
      <c r="CS26" s="173"/>
      <c r="CT26" s="173"/>
      <c r="CU26" s="173"/>
      <c r="CV26" s="173"/>
      <c r="CW26" s="173"/>
      <c r="CX26" s="177"/>
      <c r="CY26" s="135">
        <f>IF(ISBLANK(Estudiantes310[[#This Row],[Columna97]]),Estudiantes310[[#This Row],[Columna99]],Estudiantes310[[#This Row],[Columna97]])</f>
        <v>0</v>
      </c>
      <c r="CZ26" s="177"/>
      <c r="DA26" s="173"/>
      <c r="DB26" s="173"/>
      <c r="DC26" s="173"/>
      <c r="DD26" s="173"/>
      <c r="DE26" s="173"/>
      <c r="DF26" s="177"/>
      <c r="DG26" s="135">
        <f>IF(ISBLANK(Estudiantes310[[#This Row],[Columna105]]),Estudiantes310[[#This Row],[Columna107]],Estudiantes310[[#This Row],[Columna105]])</f>
        <v>0</v>
      </c>
      <c r="DH26" s="177"/>
      <c r="DI26" s="173"/>
      <c r="DJ26" s="173"/>
      <c r="DK26" s="173"/>
      <c r="DL26" s="173"/>
      <c r="DM26" s="173"/>
      <c r="DN26" s="177"/>
      <c r="DO26" s="135">
        <f>IF(ISBLANK(Estudiantes310[[#This Row],[Columna113]]),Estudiantes310[[#This Row],[Columna115]],Estudiantes310[[#This Row],[Columna113]])</f>
        <v>0</v>
      </c>
      <c r="DP26" s="177"/>
      <c r="DQ26" s="173"/>
      <c r="DR26" s="173"/>
      <c r="DS26" s="173"/>
      <c r="DT26" s="173"/>
      <c r="DU26" s="173"/>
      <c r="DV26" s="177"/>
      <c r="DW26" s="135">
        <f>IF(ISBLANK(Estudiantes310[[#This Row],[Columna121]]),Estudiantes310[[#This Row],[Columna123]],Estudiantes310[[#This Row],[Columna121]])</f>
        <v>0</v>
      </c>
      <c r="DX26" s="177"/>
      <c r="DY26" s="173"/>
      <c r="DZ26" s="173"/>
      <c r="EA26" s="173"/>
      <c r="EB26" s="173"/>
      <c r="EC26" s="173"/>
      <c r="ED26" s="177"/>
      <c r="EE26" s="135">
        <f>IF(ISBLANK(Estudiantes310[[#This Row],[Columna129]]),Estudiantes310[[#This Row],[Columna131]],Estudiantes310[[#This Row],[Columna129]])</f>
        <v>0</v>
      </c>
      <c r="EF26" s="177"/>
      <c r="EG26" s="173"/>
      <c r="EH26" s="173"/>
      <c r="EI26" s="173"/>
      <c r="EJ26" s="173"/>
      <c r="EK26" s="173"/>
      <c r="EL26" s="177"/>
      <c r="EM26" s="135">
        <f>IF(ISBLANK(Estudiantes310[[#This Row],[Columna137]]),Estudiantes310[[#This Row],[Columna139]],Estudiantes310[[#This Row],[Columna137]])</f>
        <v>0</v>
      </c>
      <c r="EN26" s="177"/>
      <c r="EO26" s="173"/>
      <c r="EP26" s="173"/>
      <c r="EQ26" s="173"/>
      <c r="ER26" s="173"/>
      <c r="ES26" s="173"/>
      <c r="ET26" s="177"/>
      <c r="EU26" s="135">
        <f>IF(ISBLANK(Estudiantes310[[#This Row],[Columna145]]),Estudiantes310[[#This Row],[Columna147]],Estudiantes310[[#This Row],[Columna145]])</f>
        <v>0</v>
      </c>
      <c r="EV26" s="177"/>
      <c r="EW26" s="173"/>
      <c r="EX26" s="173"/>
      <c r="EY26" s="173"/>
      <c r="EZ26" s="173"/>
      <c r="FA26" s="173"/>
      <c r="FB26" s="177"/>
      <c r="FC26" s="135">
        <f>IF(ISBLANK(Estudiantes310[[#This Row],[Columna153]]),Estudiantes310[[#This Row],[Columna155]],Estudiantes310[[#This Row],[Columna153]])</f>
        <v>0</v>
      </c>
      <c r="FD26" s="177"/>
      <c r="FE26" s="173"/>
      <c r="FF26" s="173"/>
      <c r="FG26" s="173"/>
      <c r="FH26" s="173"/>
      <c r="FI26" s="173"/>
      <c r="FJ26" s="177"/>
      <c r="FK26" s="135">
        <f>IF(ISBLANK(Estudiantes310[[#This Row],[Columna161]]),Estudiantes310[[#This Row],[Columna163]],Estudiantes310[[#This Row],[Columna161]])</f>
        <v>0</v>
      </c>
      <c r="FL26" s="177"/>
      <c r="FM26" s="178">
        <f t="shared" si="1"/>
        <v>23</v>
      </c>
      <c r="FN26" s="135"/>
    </row>
    <row r="27" spans="1:170" ht="15.6" x14ac:dyDescent="0.3">
      <c r="A27" s="135" t="s">
        <v>304</v>
      </c>
      <c r="B27" s="135" t="s">
        <v>295</v>
      </c>
      <c r="C27" s="135" t="s">
        <v>305</v>
      </c>
      <c r="D27" s="164">
        <v>120280412</v>
      </c>
      <c r="E27" s="135">
        <f>SUM(Estudiantes310[[#This Row],[1]],Estudiantes310[[#This Row],[Columna12]],Estudiantes310[[#This Row],[Columna20]],Estudiantes310[[#This Row],[Columna28]],Estudiantes310[[#This Row],[Columna36]],Estudiantes310[[#This Row],[Columna44]],Estudiantes310[[#This Row],[Columna52]],Estudiantes310[[#This Row],[Columna60]],Estudiantes310[[#This Row],[Columna68]],Estudiantes310[[#This Row],[Columna76]],Estudiantes310[[#This Row],[Columna84]],Estudiantes310[[#This Row],[Columna92]],Estudiantes310[[#This Row],[Columna100]],Estudiantes310[[#This Row],[Columna108]],Estudiantes310[[#This Row],[Columna116]],Estudiantes310[[#This Row],[Columna124]],Estudiantes310[[#This Row],[Columna132]],Estudiantes310[[#This Row],[Columna140]],Estudiantes310[[#This Row],[Columna148]],Estudiantes310[[#This Row],[Columna156]]) -Estudiantes310[[#This Row],[0]]</f>
        <v>1</v>
      </c>
      <c r="F27" s="165">
        <f>SUM(Estudiantes310[[#This Row],[2]],Estudiantes310[[#This Row],[Columna13]],Estudiantes310[[#This Row],[Columna21]],Estudiantes310[[#This Row],[Columna29]],Estudiantes310[[#This Row],[Columna37]],Estudiantes310[[#This Row],[Columna45]],Estudiantes310[[#This Row],[Columna53]],Estudiantes310[[#This Row],[Columna61]],Estudiantes310[[#This Row],[Columna69]],Estudiantes310[[#This Row],[Columna77]],Estudiantes310[[#This Row],[Columna85]],Estudiantes310[[#This Row],[Columna93]],Estudiantes310[[#This Row],[Columna101]],Estudiantes310[[#This Row],[Columna109]],Estudiantes310[[#This Row],[Columna117]],Estudiantes310[[#This Row],[Columna125]],Estudiantes310[[#This Row],[Columna133]],Estudiantes310[[#This Row],[Columna141]],Estudiantes310[[#This Row],[Columna149]],Estudiantes310[[#This Row],[Columna157]],)</f>
        <v>0</v>
      </c>
      <c r="G27" s="165">
        <f t="shared" si="0"/>
        <v>2</v>
      </c>
      <c r="H27" s="166">
        <f>SUM(Estudiantes310[[#This Row],[Columna4]],Estudiantes310[[#This Row],[Columna15]],Estudiantes310[[#This Row],[Columna23]],Estudiantes310[[#This Row],[Columna31]],Estudiantes310[[#This Row],[Columna39]],Estudiantes310[[#This Row],[Columna47]],Estudiantes310[[#This Row],[Columna55]],Estudiantes310[[#This Row],[Columna63]],Estudiantes310[[#This Row],[Columna71]],Estudiantes310[[#This Row],[Columna79]],Estudiantes310[[#This Row],[Columna87]],Estudiantes310[[#This Row],[Columna95]],Estudiantes310[[#This Row],[Columna103]],Estudiantes310[[#This Row],[Columna111]],Estudiantes310[[#This Row],[Columna119]],Estudiantes310[[#This Row],[Columna127]],Estudiantes310[[#This Row],[Columna135]],Estudiantes310[[#This Row],[Columna143]],Estudiantes310[[#This Row],[Columna151]],Estudiantes310[[#This Row],[Columna159]],)</f>
        <v>6</v>
      </c>
      <c r="I27" s="167"/>
      <c r="J27" s="168"/>
      <c r="K27" s="167"/>
      <c r="L27" s="168"/>
      <c r="M27" s="169"/>
      <c r="N27" s="170">
        <v>3</v>
      </c>
      <c r="O27" s="135">
        <f>IF(ISBLANK(Estudiantes310[[#This Row],[Columna10]]),Estudiantes310[[#This Row],[AJ]],Estudiantes310[[#This Row],[Columna10]])</f>
        <v>3</v>
      </c>
      <c r="P27" s="171"/>
      <c r="Q27" s="172">
        <v>1</v>
      </c>
      <c r="R27" s="173"/>
      <c r="S27" s="173"/>
      <c r="T27" s="173"/>
      <c r="U27" s="173"/>
      <c r="V27" s="174">
        <v>3</v>
      </c>
      <c r="W27" s="175">
        <f>IF(ISBLANK(Estudiantes310[[#This Row],[Columna17]]),Estudiantes310[[#This Row],[Columna19]],Estudiantes310[[#This Row],[Columna17]])</f>
        <v>3</v>
      </c>
      <c r="X27" s="176"/>
      <c r="Y27" s="173">
        <v>3</v>
      </c>
      <c r="Z27" s="173"/>
      <c r="AA27" s="173"/>
      <c r="AB27" s="173">
        <v>3</v>
      </c>
      <c r="AC27" s="173"/>
      <c r="AD27" s="177"/>
      <c r="AE27" s="135">
        <f>IF(ISBLANK(Estudiantes310[[#This Row],[Columna25]]),Estudiantes310[[#This Row],[Columna27]],Estudiantes310[[#This Row],[Columna25]])</f>
        <v>0</v>
      </c>
      <c r="AF27" s="177"/>
      <c r="AG27" s="173"/>
      <c r="AH27" s="173"/>
      <c r="AI27" s="173"/>
      <c r="AJ27" s="173"/>
      <c r="AK27" s="173"/>
      <c r="AL27" s="177">
        <v>3</v>
      </c>
      <c r="AM27" s="135">
        <f>IF(ISBLANK(Estudiantes310[[#This Row],[Columna33]]),Estudiantes310[[#This Row],[Columna35]],Estudiantes310[[#This Row],[Columna33]])</f>
        <v>3</v>
      </c>
      <c r="AN27" s="177"/>
      <c r="AO27" s="173">
        <v>3</v>
      </c>
      <c r="AP27" s="173"/>
      <c r="AQ27" s="173"/>
      <c r="AR27" s="173">
        <v>3</v>
      </c>
      <c r="AS27" s="173"/>
      <c r="AT27" s="177"/>
      <c r="AU27" s="135">
        <f>IF(ISBLANK(Estudiantes310[[#This Row],[Columna41]]),Estudiantes310[[#This Row],[Columna43]],Estudiantes310[[#This Row],[Columna41]])</f>
        <v>0</v>
      </c>
      <c r="AV27" s="177"/>
      <c r="AW27" s="173"/>
      <c r="AX27" s="173"/>
      <c r="AY27" s="173"/>
      <c r="AZ27" s="173"/>
      <c r="BA27" s="173"/>
      <c r="BB27" s="177">
        <v>3</v>
      </c>
      <c r="BC27" s="135">
        <f>IF(ISBLANK(Estudiantes310[[#This Row],[Columna49]]),Estudiantes310[[#This Row],[Columna51]],Estudiantes310[[#This Row],[Columna49]])</f>
        <v>3</v>
      </c>
      <c r="BD27" s="177"/>
      <c r="BE27" s="173"/>
      <c r="BF27" s="173"/>
      <c r="BG27" s="173">
        <v>1</v>
      </c>
      <c r="BH27" s="173"/>
      <c r="BI27" s="173"/>
      <c r="BJ27" s="177">
        <v>3</v>
      </c>
      <c r="BK27" s="135">
        <f>IF(ISBLANK(Estudiantes310[[#This Row],[Columna57]]),Estudiantes310[[#This Row],[Columna59]],Estudiantes310[[#This Row],[Columna57]])</f>
        <v>3</v>
      </c>
      <c r="BL27" s="177"/>
      <c r="BM27" s="173"/>
      <c r="BN27" s="173"/>
      <c r="BO27" s="173">
        <v>1</v>
      </c>
      <c r="BP27" s="173"/>
      <c r="BQ27" s="173"/>
      <c r="BR27" s="177">
        <v>3</v>
      </c>
      <c r="BS27" s="135">
        <f>IF(ISBLANK(Estudiantes310[[#This Row],[Columna65]]),Estudiantes310[[#This Row],[Columna67]],Estudiantes310[[#This Row],[Columna65]])</f>
        <v>3</v>
      </c>
      <c r="BT27" s="177"/>
      <c r="BU27" s="173"/>
      <c r="BV27" s="173"/>
      <c r="BW27" s="173"/>
      <c r="BX27" s="173"/>
      <c r="BY27" s="173"/>
      <c r="BZ27" s="177">
        <v>3</v>
      </c>
      <c r="CA27" s="135">
        <f>IF(ISBLANK(Estudiantes310[[#This Row],[Columna73]]),Estudiantes310[[#This Row],[Columna75]],Estudiantes310[[#This Row],[Columna73]])</f>
        <v>3</v>
      </c>
      <c r="CB27" s="177"/>
      <c r="CC27" s="173"/>
      <c r="CD27" s="173"/>
      <c r="CE27" s="173"/>
      <c r="CF27" s="173"/>
      <c r="CG27" s="173"/>
      <c r="CH27" s="177"/>
      <c r="CI27" s="135">
        <f>IF(ISBLANK(Estudiantes310[[#This Row],[Columna81]]),Estudiantes310[[#This Row],[Columna83]],Estudiantes310[[#This Row],[Columna81]])</f>
        <v>0</v>
      </c>
      <c r="CJ27" s="177"/>
      <c r="CK27" s="173"/>
      <c r="CL27" s="173"/>
      <c r="CM27" s="173"/>
      <c r="CN27" s="173"/>
      <c r="CO27" s="173"/>
      <c r="CP27" s="177"/>
      <c r="CQ27" s="135">
        <f>IF(ISBLANK(Estudiantes310[[#This Row],[Columna89]]),Estudiantes310[[#This Row],[Columna91]],Estudiantes310[[#This Row],[Columna89]])</f>
        <v>0</v>
      </c>
      <c r="CR27" s="177"/>
      <c r="CS27" s="173"/>
      <c r="CT27" s="173"/>
      <c r="CU27" s="173"/>
      <c r="CV27" s="173"/>
      <c r="CW27" s="173"/>
      <c r="CX27" s="177"/>
      <c r="CY27" s="135">
        <f>IF(ISBLANK(Estudiantes310[[#This Row],[Columna97]]),Estudiantes310[[#This Row],[Columna99]],Estudiantes310[[#This Row],[Columna97]])</f>
        <v>0</v>
      </c>
      <c r="CZ27" s="177"/>
      <c r="DA27" s="173"/>
      <c r="DB27" s="173"/>
      <c r="DC27" s="173"/>
      <c r="DD27" s="173"/>
      <c r="DE27" s="173"/>
      <c r="DF27" s="177"/>
      <c r="DG27" s="135">
        <f>IF(ISBLANK(Estudiantes310[[#This Row],[Columna105]]),Estudiantes310[[#This Row],[Columna107]],Estudiantes310[[#This Row],[Columna105]])</f>
        <v>0</v>
      </c>
      <c r="DH27" s="177"/>
      <c r="DI27" s="173"/>
      <c r="DJ27" s="173"/>
      <c r="DK27" s="173"/>
      <c r="DL27" s="173"/>
      <c r="DM27" s="173"/>
      <c r="DN27" s="177"/>
      <c r="DO27" s="135">
        <f>IF(ISBLANK(Estudiantes310[[#This Row],[Columna113]]),Estudiantes310[[#This Row],[Columna115]],Estudiantes310[[#This Row],[Columna113]])</f>
        <v>0</v>
      </c>
      <c r="DP27" s="177"/>
      <c r="DQ27" s="173"/>
      <c r="DR27" s="173"/>
      <c r="DS27" s="173"/>
      <c r="DT27" s="173"/>
      <c r="DU27" s="173"/>
      <c r="DV27" s="177"/>
      <c r="DW27" s="135">
        <f>IF(ISBLANK(Estudiantes310[[#This Row],[Columna121]]),Estudiantes310[[#This Row],[Columna123]],Estudiantes310[[#This Row],[Columna121]])</f>
        <v>0</v>
      </c>
      <c r="DX27" s="177"/>
      <c r="DY27" s="173"/>
      <c r="DZ27" s="173"/>
      <c r="EA27" s="173"/>
      <c r="EB27" s="173"/>
      <c r="EC27" s="173"/>
      <c r="ED27" s="177"/>
      <c r="EE27" s="135">
        <f>IF(ISBLANK(Estudiantes310[[#This Row],[Columna129]]),Estudiantes310[[#This Row],[Columna131]],Estudiantes310[[#This Row],[Columna129]])</f>
        <v>0</v>
      </c>
      <c r="EF27" s="177"/>
      <c r="EG27" s="173"/>
      <c r="EH27" s="173"/>
      <c r="EI27" s="173"/>
      <c r="EJ27" s="173"/>
      <c r="EK27" s="173"/>
      <c r="EL27" s="177"/>
      <c r="EM27" s="135">
        <f>IF(ISBLANK(Estudiantes310[[#This Row],[Columna137]]),Estudiantes310[[#This Row],[Columna139]],Estudiantes310[[#This Row],[Columna137]])</f>
        <v>0</v>
      </c>
      <c r="EN27" s="177"/>
      <c r="EO27" s="173"/>
      <c r="EP27" s="173"/>
      <c r="EQ27" s="173"/>
      <c r="ER27" s="173"/>
      <c r="ES27" s="173"/>
      <c r="ET27" s="177"/>
      <c r="EU27" s="135">
        <f>IF(ISBLANK(Estudiantes310[[#This Row],[Columna145]]),Estudiantes310[[#This Row],[Columna147]],Estudiantes310[[#This Row],[Columna145]])</f>
        <v>0</v>
      </c>
      <c r="EV27" s="177"/>
      <c r="EW27" s="173"/>
      <c r="EX27" s="173"/>
      <c r="EY27" s="173"/>
      <c r="EZ27" s="173"/>
      <c r="FA27" s="173"/>
      <c r="FB27" s="177"/>
      <c r="FC27" s="135">
        <f>IF(ISBLANK(Estudiantes310[[#This Row],[Columna153]]),Estudiantes310[[#This Row],[Columna155]],Estudiantes310[[#This Row],[Columna153]])</f>
        <v>0</v>
      </c>
      <c r="FD27" s="177"/>
      <c r="FE27" s="173"/>
      <c r="FF27" s="173"/>
      <c r="FG27" s="173"/>
      <c r="FH27" s="173"/>
      <c r="FI27" s="173"/>
      <c r="FJ27" s="177"/>
      <c r="FK27" s="135">
        <f>IF(ISBLANK(Estudiantes310[[#This Row],[Columna161]]),Estudiantes310[[#This Row],[Columna163]],Estudiantes310[[#This Row],[Columna161]])</f>
        <v>0</v>
      </c>
      <c r="FL27" s="177"/>
      <c r="FM27" s="178">
        <f t="shared" si="1"/>
        <v>17</v>
      </c>
      <c r="FN27" s="135"/>
    </row>
    <row r="28" spans="1:170" x14ac:dyDescent="0.3">
      <c r="Y28" s="34"/>
    </row>
    <row r="30" spans="1:170" x14ac:dyDescent="0.3">
      <c r="O30" s="34"/>
    </row>
  </sheetData>
  <mergeCells count="146">
    <mergeCell ref="FD9:FD11"/>
    <mergeCell ref="FJ9:FJ11"/>
    <mergeCell ref="FK9:FK11"/>
    <mergeCell ref="FL9:FL11"/>
    <mergeCell ref="EN9:EN11"/>
    <mergeCell ref="ET9:ET11"/>
    <mergeCell ref="EU9:EU11"/>
    <mergeCell ref="EV9:EV11"/>
    <mergeCell ref="FB9:FB11"/>
    <mergeCell ref="FC9:FC11"/>
    <mergeCell ref="DX9:DX11"/>
    <mergeCell ref="ED9:ED11"/>
    <mergeCell ref="EE9:EE11"/>
    <mergeCell ref="EF9:EF11"/>
    <mergeCell ref="EL9:EL11"/>
    <mergeCell ref="EM9:EM11"/>
    <mergeCell ref="DH9:DH11"/>
    <mergeCell ref="DN9:DN11"/>
    <mergeCell ref="DO9:DO11"/>
    <mergeCell ref="DP9:DP11"/>
    <mergeCell ref="DV9:DV11"/>
    <mergeCell ref="DW9:DW11"/>
    <mergeCell ref="CX9:CX11"/>
    <mergeCell ref="CY9:CY11"/>
    <mergeCell ref="CZ9:CZ11"/>
    <mergeCell ref="DF9:DF11"/>
    <mergeCell ref="DG9:DG11"/>
    <mergeCell ref="CB9:CB11"/>
    <mergeCell ref="CH9:CH11"/>
    <mergeCell ref="CI9:CI11"/>
    <mergeCell ref="CJ9:CJ11"/>
    <mergeCell ref="CP9:CP11"/>
    <mergeCell ref="CQ9:CQ11"/>
    <mergeCell ref="BZ9:BZ11"/>
    <mergeCell ref="CA9:CA11"/>
    <mergeCell ref="AV9:AV11"/>
    <mergeCell ref="BB9:BB11"/>
    <mergeCell ref="BC9:BC11"/>
    <mergeCell ref="BD9:BD11"/>
    <mergeCell ref="BJ9:BJ11"/>
    <mergeCell ref="BK9:BK11"/>
    <mergeCell ref="CR9:CR11"/>
    <mergeCell ref="AT9:AT11"/>
    <mergeCell ref="AU9:AU11"/>
    <mergeCell ref="FE8:FI8"/>
    <mergeCell ref="FJ8:FL8"/>
    <mergeCell ref="N9:N11"/>
    <mergeCell ref="O9:O11"/>
    <mergeCell ref="P9:P11"/>
    <mergeCell ref="V9:V11"/>
    <mergeCell ref="W9:W11"/>
    <mergeCell ref="X9:X11"/>
    <mergeCell ref="AD9:AD11"/>
    <mergeCell ref="AE9:AE11"/>
    <mergeCell ref="EG8:EK8"/>
    <mergeCell ref="EL8:EN8"/>
    <mergeCell ref="EO8:ES8"/>
    <mergeCell ref="ET8:EV8"/>
    <mergeCell ref="EW8:FA8"/>
    <mergeCell ref="FB8:FD8"/>
    <mergeCell ref="DI8:DM8"/>
    <mergeCell ref="DN8:DP8"/>
    <mergeCell ref="BL9:BL11"/>
    <mergeCell ref="BR9:BR11"/>
    <mergeCell ref="BS9:BS11"/>
    <mergeCell ref="BT9:BT11"/>
    <mergeCell ref="DQ8:DU8"/>
    <mergeCell ref="DV8:DX8"/>
    <mergeCell ref="DY8:EC8"/>
    <mergeCell ref="ED8:EF8"/>
    <mergeCell ref="CK8:CO8"/>
    <mergeCell ref="CP8:CR8"/>
    <mergeCell ref="CS8:CW8"/>
    <mergeCell ref="CX8:CZ8"/>
    <mergeCell ref="DA8:DE8"/>
    <mergeCell ref="DF8:DH8"/>
    <mergeCell ref="BM8:BQ8"/>
    <mergeCell ref="BR8:BT8"/>
    <mergeCell ref="BU8:BY8"/>
    <mergeCell ref="BZ8:CB8"/>
    <mergeCell ref="CC8:CG8"/>
    <mergeCell ref="CH8:CJ8"/>
    <mergeCell ref="AO8:AS8"/>
    <mergeCell ref="AT8:AV8"/>
    <mergeCell ref="AW8:BA8"/>
    <mergeCell ref="BB8:BD8"/>
    <mergeCell ref="BE8:BI8"/>
    <mergeCell ref="BJ8:BL8"/>
    <mergeCell ref="Q8:U8"/>
    <mergeCell ref="V8:X8"/>
    <mergeCell ref="Y8:AC8"/>
    <mergeCell ref="AD8:AF8"/>
    <mergeCell ref="AG8:AK8"/>
    <mergeCell ref="AL8:AN8"/>
    <mergeCell ref="E8:E11"/>
    <mergeCell ref="F8:F11"/>
    <mergeCell ref="G8:G11"/>
    <mergeCell ref="H8:H11"/>
    <mergeCell ref="I8:M8"/>
    <mergeCell ref="N8:P8"/>
    <mergeCell ref="AF9:AF11"/>
    <mergeCell ref="AL9:AL11"/>
    <mergeCell ref="AM9:AM11"/>
    <mergeCell ref="AN9:AN11"/>
    <mergeCell ref="EO6:EP6"/>
    <mergeCell ref="EQ6:EV6"/>
    <mergeCell ref="EW6:EX6"/>
    <mergeCell ref="EY6:FD6"/>
    <mergeCell ref="FE6:FF6"/>
    <mergeCell ref="FG6:FL6"/>
    <mergeCell ref="DQ6:DR6"/>
    <mergeCell ref="DS6:DX6"/>
    <mergeCell ref="DY6:DZ6"/>
    <mergeCell ref="EA6:EF6"/>
    <mergeCell ref="EG6:EH6"/>
    <mergeCell ref="EI6:EN6"/>
    <mergeCell ref="CS6:CT6"/>
    <mergeCell ref="CU6:CZ6"/>
    <mergeCell ref="DA6:DB6"/>
    <mergeCell ref="DC6:DH6"/>
    <mergeCell ref="DI6:DJ6"/>
    <mergeCell ref="DK6:DP6"/>
    <mergeCell ref="BU6:BV6"/>
    <mergeCell ref="BW6:CB6"/>
    <mergeCell ref="CC6:CD6"/>
    <mergeCell ref="CE6:CJ6"/>
    <mergeCell ref="CK6:CL6"/>
    <mergeCell ref="CM6:CR6"/>
    <mergeCell ref="BG6:BL6"/>
    <mergeCell ref="BM6:BN6"/>
    <mergeCell ref="BO6:BT6"/>
    <mergeCell ref="Y6:Z6"/>
    <mergeCell ref="AA6:AF6"/>
    <mergeCell ref="AG6:AH6"/>
    <mergeCell ref="AI6:AN6"/>
    <mergeCell ref="AO6:AP6"/>
    <mergeCell ref="AQ6:AV6"/>
    <mergeCell ref="E1:J1"/>
    <mergeCell ref="K1:N1"/>
    <mergeCell ref="I6:J6"/>
    <mergeCell ref="K6:P6"/>
    <mergeCell ref="Q6:R6"/>
    <mergeCell ref="S6:X6"/>
    <mergeCell ref="AW6:AX6"/>
    <mergeCell ref="AY6:BD6"/>
    <mergeCell ref="BE6:BF6"/>
  </mergeCells>
  <conditionalFormatting sqref="I13:I27 Q13:Q27 Y13:Y27 AG13:AG27 AO13:AO27 AW13:AW27 BE13:BE27 BM13:BM27 BU13:BU27 CC13:CC27 CK13:CK27 CS13:CS27 DA13:DA27 DI13:DI27 DQ13:DQ27 DY13:DY27 EG13:EG27 EO13:EO27 EW13:EW27 FE13:FE27">
    <cfRule type="cellIs" dxfId="175" priority="4" operator="greaterThan">
      <formula>0</formula>
    </cfRule>
  </conditionalFormatting>
  <conditionalFormatting sqref="A1314 R13:R27 J13:J27 Z13:Z27 AH13:AH27 AP13:AP27 AX13:AX27 BF13:BF27 BN13:BN27 BV13:BV27 CD13:CD27 CL13:CL27 CT13:CT27 DB13:DB27 DJ13:DJ27 DR13:DR27 DZ13:DZ27 EH13:EH27 EP13:EP27 EX13:EX27 FF13:FF27">
    <cfRule type="cellIs" dxfId="174" priority="1" operator="greaterThan">
      <formula>0</formula>
    </cfRule>
  </conditionalFormatting>
  <conditionalFormatting sqref="L13:L27 T13:T27 AB13:AB27 AJ13:AJ27 AR13:AR27 AZ13:AZ27 BH13:BH27 BP13:BP27 BX13:BX27 CF13:CF27 CN13:CN27 CV13:CV27 DD13:DD27 DL13:DL27 DT13:DT27 EB13:EB27 EJ13:EJ27 ER13:ER27 EZ13:EZ27 FH13:FH27">
    <cfRule type="cellIs" dxfId="173" priority="3" operator="greaterThan">
      <formula>0</formula>
    </cfRule>
  </conditionalFormatting>
  <conditionalFormatting sqref="K13:K27 S13:S27 AA13:AA27 AI13:AI27 AQ13:AQ27 AY13:AY27 BG13:BG27 BO13:BO27 BW13:BW27 CE13:CE27 CM13:CM27 CU13:CU27 DC13:DC27 DK13:DK27 DS13:DS27 EA13:EA27 EI13:EI27 EQ13:EQ27 EY13:EY27 FG13:FG27">
    <cfRule type="cellIs" dxfId="172" priority="2" operator="greaterThan">
      <formula>0</formula>
    </cfRule>
  </conditionalFormatting>
  <dataValidations count="38">
    <dataValidation type="whole" allowBlank="1" showInputMessage="1" showErrorMessage="1" errorTitle="Cotidiano" error="El cotidiano se evalua del 0 al 3. " sqref="N12 N13:P27 V13:X27 AD13:AF27 AL13:AN27 AT13:AV27 BB13:BD27 BJ13:BL27 BR13:BT27 BZ13:CB27 CH13:CJ27 CP13:CR27 CX13:CZ27 DF13:DH27 DN13:DP27 DV13:DX27 ED13:EF27 EL13:EN27 ET13:EV27 FB13:FD27 FJ13:FL27" xr:uid="{4208AAFC-33FB-45BA-80B3-5EB7FE91A591}">
      <formula1>0</formula1>
      <formula2>3</formula2>
    </dataValidation>
    <dataValidation type="date" allowBlank="1" showInputMessage="1" showErrorMessage="1" sqref="K6 S6 AA6 AI6 AQ6 AY6 BG6 BO6 BW6 CE6 CM6 CU6 DC6 DK6 DS6 EA6 EI6 EQ6 EY6 FG6" xr:uid="{F02D8424-D96C-4AB6-89F2-D6EA9988F4CF}">
      <formula1>1</formula1>
      <formula2>402133</formula2>
    </dataValidation>
    <dataValidation type="list" allowBlank="1" showInputMessage="1" showErrorMessage="1" sqref="I6:J6 Q6:R6 Y6:Z6 AG6:AH6 AO6:AP6 AW6:AX6 BE6:BF6 BM6:BN6 BU6:BV6 CC6:CD6 CK6:CL6 CS6:CT6 DA6:DB6 DI6:DJ6 DQ6:DR6 DY6:DZ6 EG6:EH6 EO6:EP6 EW6:EX6 FE6:FF6" xr:uid="{81AA6E65-BB56-4237-8D55-B68FFD510F1D}">
      <formula1>"1,2,3,4,5,6"</formula1>
    </dataValidation>
    <dataValidation type="whole" operator="lessThanOrEqual" showInputMessage="1" showErrorMessage="1" errorTitle="Error." error="El dato ingresado no puede ser mayor a la cantidad total de lecciones impartidas esre día." sqref="DI13:DL27" xr:uid="{787B3CF3-7669-4BA8-90B1-91BB1D593110}">
      <formula1>$DI$6</formula1>
    </dataValidation>
    <dataValidation type="whole" operator="lessThanOrEqual" showInputMessage="1" showErrorMessage="1" errorTitle="Error." error="El dato ingresado no puede ser mayor a la cantidad total de lecciones impartidas esre día." sqref="DQ13:DT27" xr:uid="{A3B0E5B3-58DD-475D-B87A-2661B4DE4EB7}">
      <formula1>$DQ$6</formula1>
    </dataValidation>
    <dataValidation type="whole" operator="lessThanOrEqual" showInputMessage="1" showErrorMessage="1" errorTitle="Error" error="El dato ingresado no puede ser mayor a la cantidad total de lecciones impartidas esre día." sqref="EW13:EZ27" xr:uid="{5DFE3F21-23A8-434B-9739-31F151083C63}">
      <formula1>$EW$6</formula1>
    </dataValidation>
    <dataValidation type="whole" operator="lessThanOrEqual" showInputMessage="1" showErrorMessage="1" errorTitle="Error " error="El dato ingresado no puede ser mayor a la cantidad total de lecciones impartidas esre día." sqref="FE13:FE27" xr:uid="{FD12BC93-A63B-4FE6-83BB-E8FC7AE6B9A6}">
      <formula1>$FE$6</formula1>
    </dataValidation>
    <dataValidation type="whole" operator="lessThanOrEqual" showInputMessage="1" showErrorMessage="1" errorTitle="Error." error="El dato ingresado no puede ser mayor a la cantidad total de lecciones impartidas esre día." sqref="FF13:FH27" xr:uid="{4763B5AB-4F98-4FB8-9B5D-A24AFBF80A5A}">
      <formula1>$FE$6</formula1>
    </dataValidation>
    <dataValidation type="whole" operator="lessThanOrEqual" showInputMessage="1" showErrorMessage="1" sqref="FA13:FA27" xr:uid="{7E3D5F38-4367-445B-9CE8-9D3E837CA355}">
      <formula1>$EW$6</formula1>
    </dataValidation>
    <dataValidation type="whole" operator="lessThanOrEqual" showInputMessage="1" showErrorMessage="1" errorTitle="Error." error="El dato ingresado no puede ser mayor a la cantidad total de lecciones impartidas esre día._x000a_" sqref="EO13:ER27" xr:uid="{71F6BAA5-CA2E-4443-92B7-940266994ADC}">
      <formula1>$EO$6</formula1>
    </dataValidation>
    <dataValidation type="whole" operator="lessThanOrEqual" showInputMessage="1" showErrorMessage="1" errorTitle="Error." error="El dato ingresado no puede ser mayor a la cantidad total de lecciones impartidas esre día." sqref="EG13:EJ27" xr:uid="{4E5CDC71-DE3A-4F32-82C4-9E97FF5230D3}">
      <formula1>$EG$6</formula1>
    </dataValidation>
    <dataValidation type="whole" operator="lessThanOrEqual" showInputMessage="1" showErrorMessage="1" errorTitle="Error." error="El dato ingresado no puede ser mayor a la cantidad total de lecciones impartidas esre día." sqref="DY13:EB27" xr:uid="{FBC9FFCE-C8ED-47C9-8094-1D38065A1650}">
      <formula1>$DY$6</formula1>
    </dataValidation>
    <dataValidation type="whole" operator="lessThanOrEqual" showInputMessage="1" showErrorMessage="1" errorTitle="Error." error="El dato ingresado no puede ser mayor a la cantidad total de lecciones impartidas esre día." sqref="DA13:DD27" xr:uid="{50987BE5-168F-4CE6-B038-F4EE2CE3619A}">
      <formula1>$DA$6</formula1>
    </dataValidation>
    <dataValidation type="whole" operator="lessThanOrEqual" showInputMessage="1" showErrorMessage="1" errorTitle="Error." error="El dato ingresado no puede ser mayor a la cantidad total de lecciones impartidas esre día." sqref="CS13:CV27" xr:uid="{33761D90-5FEB-48AA-9D5C-D790A6D3848A}">
      <formula1>$CS$6</formula1>
    </dataValidation>
    <dataValidation type="whole" operator="lessThanOrEqual" showInputMessage="1" showErrorMessage="1" errorTitle="Error." error="El dato ingresado no puede ser mayor a la cantidad total de lecciones impartidas esre día." sqref="CK13:CN27" xr:uid="{26B0D917-76E8-4C9A-99DD-4838CB7B17E4}">
      <formula1>$CK$6</formula1>
    </dataValidation>
    <dataValidation type="whole" operator="lessThanOrEqual" showInputMessage="1" showErrorMessage="1" errorTitle="Error." error="El dato ingresado no puede ser mayor a la cantidad total de lecciones impartidas esre día." sqref="CC13:CF27" xr:uid="{757410F2-FC39-4838-BE0B-A796055CF3AD}">
      <formula1>$CC$6</formula1>
    </dataValidation>
    <dataValidation type="whole" operator="lessThanOrEqual" showInputMessage="1" showErrorMessage="1" errorTitle="Error." error="El dato ingresado no puede ser mayor a la cantidad total de lecciones impartidas esre día." sqref="BU13:BX27" xr:uid="{487C0414-CC14-405F-950A-F852B3B031BA}">
      <formula1>$BU$6</formula1>
    </dataValidation>
    <dataValidation type="whole" operator="lessThanOrEqual" showInputMessage="1" showErrorMessage="1" errorTitle="Error." error="El dato ingresado no puede ser mayor a la cantidad total de lecciones impartidas esre día." sqref="BM13:BP27" xr:uid="{6BF37F44-892E-49FF-B2FE-9DC89F469976}">
      <formula1>$BM$6</formula1>
    </dataValidation>
    <dataValidation type="whole" operator="lessThanOrEqual" showInputMessage="1" showErrorMessage="1" errorTitle="Error." error="El dato ingresado no puede ser mayor a la cantidad total de lecciones impartidas esre día." sqref="BE13:BH27" xr:uid="{D8041980-FAA0-4DBE-9D93-ED68F5B0FA85}">
      <formula1>$BE$6</formula1>
    </dataValidation>
    <dataValidation type="whole" operator="lessThanOrEqual" showInputMessage="1" showErrorMessage="1" errorTitle="Error." error="El dato ingresado no puede ser mayor a la cantidad total de lecciones impartidas esre día." sqref="AW13:AZ27" xr:uid="{7232EBFC-A9F6-43C1-BAED-7D8175291F9B}">
      <formula1>$AW$6</formula1>
    </dataValidation>
    <dataValidation type="whole" operator="lessThanOrEqual" showInputMessage="1" showErrorMessage="1" errorTitle="Error." error="El dato ingresado no puede ser mayor a la cantidad total de lecciones impartidas esre día." sqref="AO13:AR27" xr:uid="{246C5B58-B7FE-48C0-83B6-F35C84F2537D}">
      <formula1>$AO$6</formula1>
    </dataValidation>
    <dataValidation type="whole" operator="lessThanOrEqual" showInputMessage="1" showErrorMessage="1" errorTitle="Error." error="El dato ingresado no puede ser mayor a la cantidad total de lecciones impartidas esre día." sqref="AG13:AJ27" xr:uid="{1E6CC6BA-4B5C-4A10-9921-10DC036ECDF0}">
      <formula1>$AG$6</formula1>
    </dataValidation>
    <dataValidation type="whole" operator="lessThanOrEqual" showInputMessage="1" showErrorMessage="1" errorTitle="Error." error="El dato ingresado no puede ser mayor a la cantidad total de lecciones impartidas esre día." sqref="Y13:AB27" xr:uid="{BBA5B4F1-020B-4111-B654-123D6B81EEBC}">
      <formula1>$Y$6</formula1>
    </dataValidation>
    <dataValidation type="whole" operator="lessThanOrEqual" showInputMessage="1" showErrorMessage="1" sqref="DU13:DU27" xr:uid="{4457D263-1CC0-4087-AA53-F5A61C0E4DEA}">
      <formula1>$DQ$6</formula1>
    </dataValidation>
    <dataValidation type="whole" operator="lessThanOrEqual" showInputMessage="1" showErrorMessage="1" sqref="DM13:DM27" xr:uid="{308F4479-087B-401B-BF0B-99C3799A66FB}">
      <formula1>$DI$6</formula1>
    </dataValidation>
    <dataValidation type="whole" operator="lessThanOrEqual" allowBlank="1" showInputMessage="1" showErrorMessage="1" sqref="DE13:DE27" xr:uid="{5FB2F0BB-14E1-4F86-83CA-5A81DCAC3C46}">
      <formula1>$DA$6</formula1>
    </dataValidation>
    <dataValidation type="whole" operator="lessThanOrEqual" allowBlank="1" showInputMessage="1" showErrorMessage="1" sqref="CW13:CW27" xr:uid="{7BD7F6B1-C443-4E17-9716-3062CF464DAF}">
      <formula1>$CS$6</formula1>
    </dataValidation>
    <dataValidation type="whole" operator="lessThanOrEqual" allowBlank="1" showInputMessage="1" showErrorMessage="1" sqref="CO13:CO27" xr:uid="{D441E6CC-F612-4359-8DBD-E6192D683450}">
      <formula1>$CK$6</formula1>
    </dataValidation>
    <dataValidation type="whole" operator="lessThanOrEqual" allowBlank="1" showInputMessage="1" showErrorMessage="1" sqref="CG13:CG27" xr:uid="{204D6957-F1EB-4532-82E3-99B42859F364}">
      <formula1>$CC$6</formula1>
    </dataValidation>
    <dataValidation type="whole" operator="lessThanOrEqual" allowBlank="1" showInputMessage="1" showErrorMessage="1" sqref="BY13:BY27" xr:uid="{253D00F0-D29F-452E-B653-4A95FF1A79E6}">
      <formula1>$BU$6</formula1>
    </dataValidation>
    <dataValidation type="whole" operator="lessThanOrEqual" allowBlank="1" showInputMessage="1" showErrorMessage="1" sqref="BQ13:BQ27" xr:uid="{94540C04-F40F-44DF-AF13-4C87FD0A8D79}">
      <formula1>$BM$6</formula1>
    </dataValidation>
    <dataValidation type="whole" operator="lessThanOrEqual" allowBlank="1" showInputMessage="1" showErrorMessage="1" sqref="BI13:BI27" xr:uid="{866322E3-C855-4B65-ACA5-442849F60D82}">
      <formula1>$BE$6</formula1>
    </dataValidation>
    <dataValidation type="whole" operator="lessThanOrEqual" allowBlank="1" showInputMessage="1" showErrorMessage="1" sqref="BA13:BA27" xr:uid="{B408ED69-776D-4619-B8AD-D54F969D2543}">
      <formula1>$AW$6</formula1>
    </dataValidation>
    <dataValidation type="whole" operator="lessThanOrEqual" allowBlank="1" showInputMessage="1" showErrorMessage="1" sqref="AS13:AS27" xr:uid="{40D3669F-D5B0-4247-9867-0325A4A141CA}">
      <formula1>$AO$6</formula1>
    </dataValidation>
    <dataValidation type="whole" operator="lessThanOrEqual" allowBlank="1" showInputMessage="1" showErrorMessage="1" sqref="AK13:AK27" xr:uid="{BDC9D721-BF9D-4535-B1E0-954E65F73545}">
      <formula1>$AG$6</formula1>
    </dataValidation>
    <dataValidation type="whole" operator="lessThanOrEqual" allowBlank="1" showInputMessage="1" showErrorMessage="1" sqref="AC13:AC27" xr:uid="{AF6D7118-C379-463B-926F-B62257D5C2EF}">
      <formula1>$Y$6</formula1>
    </dataValidation>
    <dataValidation type="whole" operator="lessThanOrEqual" showInputMessage="1" showErrorMessage="1" errorTitle="Error" error="El dato ingresado no puede ser mayor a la cantidad total de lecciones impartidas esre día." sqref="I13:L27" xr:uid="{4B58CD69-31DA-46CF-9E90-DFD97EAEA13B}">
      <formula1>$I$6</formula1>
    </dataValidation>
    <dataValidation type="whole" operator="lessThanOrEqual" showInputMessage="1" showErrorMessage="1" errorTitle="Error" error="El dato ingresado no puede ser mayor a la cantidad total de lecciones impartidas esre día." promptTitle="Bien" sqref="Q13:T27" xr:uid="{7653488B-5451-498C-89C0-622A261CE6BC}">
      <formula1>$Q$6</formula1>
    </dataValidation>
  </dataValidations>
  <hyperlinks>
    <hyperlink ref="K1" location="Proyectos!A1" display="Ir a Proyectos" xr:uid="{3FE7D2C2-5950-4505-BA98-879593C3FEC1}"/>
    <hyperlink ref="E1" location="Indicadores!A1" display="Ir a Indicadores" xr:uid="{C6016773-9A2E-4617-A617-38F6F4DCF79A}"/>
    <hyperlink ref="A1" location="Principal!A1" display="Volver a principal" xr:uid="{210F281B-30A8-4A58-8D90-E4D32D3FC43E}"/>
    <hyperlink ref="B1" location="Tareas!A1" display="Ir a Tareas" xr:uid="{2C0ECB8C-C020-4EC5-8CDF-7BDAAFA0693D}"/>
    <hyperlink ref="C1" location="Evaluaciones!A1" display="Ir a Evaluaciones" xr:uid="{373A7023-E007-4211-96F1-DDDAE600F6CA}"/>
    <hyperlink ref="D1" location="Portafolio!A1" display="Ir a Portafolio" xr:uid="{1B2B1DD7-F496-4E83-BBD2-318962FD4CF5}"/>
  </hyperlinks>
  <pageMargins left="0.75" right="0.75" top="1" bottom="1" header="0.5" footer="0.5"/>
  <pageSetup paperSize="9" orientation="portrait" r:id="rId1"/>
  <ignoredErrors>
    <ignoredError sqref="N12" listDataValidation="1"/>
  </ignoredErrors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C9C339A-8F1B-48E4-A870-1934FD521BF9}">
          <x14:formula1>
            <xm:f>Indicadores!$B$3:$B$101</xm:f>
          </x14:formula1>
          <xm:sqref>N9 O9:P11 V9 W9:X11 AD9 AE9:AF11 AL9 AM9:AN11 AT9 AU9:AV11 BB9 BC9:BD11 BJ9 BK9:BL11 BR9 BS9:BT11 BZ9 CA9:CB11 CH9 CI9:CJ11 CP9 CQ9:CR11 CX9 CY9:CZ11 DF9 DG9:DH11 DN9 DO9:DP11 DV9 DW9:DX11 ED9 EE9:EF11 EL9 EM9:EN11 ET9 EU9:EV11 FB9 FC9:FD11 FJ9 FK9:FL11</xm:sqref>
        </x14:dataValidation>
      </x14:dataValidation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EDBD37-2A15-4494-A07F-6AC29068390F}">
  <sheetPr codeName="Hoja7">
    <tabColor theme="3"/>
  </sheetPr>
  <dimension ref="A1:I101"/>
  <sheetViews>
    <sheetView showGridLines="0" zoomScale="60" zoomScaleNormal="60" workbookViewId="0">
      <selection activeCell="B7" sqref="B7"/>
    </sheetView>
  </sheetViews>
  <sheetFormatPr baseColWidth="10" defaultColWidth="11.44140625" defaultRowHeight="11.4" x14ac:dyDescent="0.2"/>
  <cols>
    <col min="1" max="1" width="5.109375" style="19" customWidth="1"/>
    <col min="2" max="2" width="221.44140625" style="20" customWidth="1"/>
    <col min="3" max="5" width="47.6640625" style="21" customWidth="1"/>
    <col min="6" max="7" width="11.44140625" style="7"/>
    <col min="8" max="8" width="5.109375" style="19" customWidth="1"/>
    <col min="9" max="9" width="229.44140625" style="20" customWidth="1"/>
    <col min="10" max="16384" width="11.44140625" style="7"/>
  </cols>
  <sheetData>
    <row r="1" spans="1:9" ht="31.95" customHeight="1" x14ac:dyDescent="0.3">
      <c r="A1" s="254" t="s">
        <v>26</v>
      </c>
      <c r="B1" s="256" t="s">
        <v>27</v>
      </c>
      <c r="C1" s="258" t="s">
        <v>28</v>
      </c>
      <c r="D1" s="258"/>
      <c r="E1" s="258"/>
      <c r="H1" s="8"/>
      <c r="I1" s="8"/>
    </row>
    <row r="2" spans="1:9" s="12" customFormat="1" ht="24.75" customHeight="1" thickBot="1" x14ac:dyDescent="0.35">
      <c r="A2" s="255"/>
      <c r="B2" s="257"/>
      <c r="C2" s="9" t="s">
        <v>29</v>
      </c>
      <c r="D2" s="10" t="s">
        <v>30</v>
      </c>
      <c r="E2" s="11" t="s">
        <v>31</v>
      </c>
      <c r="H2" s="8"/>
      <c r="I2" s="8"/>
    </row>
    <row r="3" spans="1:9" ht="22.5" customHeight="1" thickTop="1" x14ac:dyDescent="0.3">
      <c r="A3" s="45">
        <v>1</v>
      </c>
      <c r="B3" s="181" t="s">
        <v>306</v>
      </c>
      <c r="C3" s="13"/>
      <c r="D3" s="14"/>
      <c r="E3" s="15"/>
      <c r="H3" s="8"/>
      <c r="I3" s="8"/>
    </row>
    <row r="4" spans="1:9" ht="22.5" customHeight="1" x14ac:dyDescent="0.3">
      <c r="A4" s="46">
        <v>2</v>
      </c>
      <c r="B4" s="181" t="s">
        <v>307</v>
      </c>
      <c r="C4" s="16"/>
      <c r="D4" s="17"/>
      <c r="E4" s="18"/>
      <c r="H4" s="8"/>
      <c r="I4" s="8"/>
    </row>
    <row r="5" spans="1:9" ht="22.5" customHeight="1" x14ac:dyDescent="0.3">
      <c r="A5" s="46">
        <v>3</v>
      </c>
      <c r="B5" s="181" t="s">
        <v>308</v>
      </c>
      <c r="C5" s="16"/>
      <c r="D5" s="17"/>
      <c r="E5" s="18"/>
      <c r="H5" s="8"/>
      <c r="I5" s="8"/>
    </row>
    <row r="6" spans="1:9" ht="22.5" customHeight="1" x14ac:dyDescent="0.3">
      <c r="A6" s="46">
        <v>4</v>
      </c>
      <c r="B6" s="181" t="s">
        <v>309</v>
      </c>
      <c r="C6" s="16"/>
      <c r="D6" s="17"/>
      <c r="E6" s="18"/>
      <c r="H6" s="8"/>
      <c r="I6" s="8"/>
    </row>
    <row r="7" spans="1:9" ht="22.5" customHeight="1" x14ac:dyDescent="0.3">
      <c r="A7" s="46">
        <v>5</v>
      </c>
      <c r="B7" s="181" t="s">
        <v>310</v>
      </c>
      <c r="C7" s="16"/>
      <c r="D7" s="17"/>
      <c r="E7" s="18"/>
      <c r="H7" s="8"/>
      <c r="I7" s="8"/>
    </row>
    <row r="8" spans="1:9" ht="22.5" customHeight="1" x14ac:dyDescent="0.3">
      <c r="A8" s="46">
        <v>6</v>
      </c>
      <c r="B8" s="181" t="s">
        <v>311</v>
      </c>
      <c r="C8" s="16"/>
      <c r="D8" s="17"/>
      <c r="E8" s="18"/>
      <c r="H8" s="8"/>
      <c r="I8" s="8"/>
    </row>
    <row r="9" spans="1:9" ht="22.5" customHeight="1" x14ac:dyDescent="0.3">
      <c r="A9" s="46">
        <v>7</v>
      </c>
      <c r="B9" s="5"/>
      <c r="C9" s="16"/>
      <c r="D9" s="17"/>
      <c r="E9" s="18"/>
      <c r="H9" s="8"/>
      <c r="I9" s="8"/>
    </row>
    <row r="10" spans="1:9" ht="22.5" customHeight="1" x14ac:dyDescent="0.3">
      <c r="A10" s="46">
        <v>8</v>
      </c>
      <c r="B10" s="5"/>
      <c r="C10" s="16"/>
      <c r="D10" s="17"/>
      <c r="E10" s="18"/>
      <c r="H10" s="8"/>
      <c r="I10" s="8"/>
    </row>
    <row r="11" spans="1:9" ht="22.5" customHeight="1" x14ac:dyDescent="0.3">
      <c r="A11" s="46">
        <v>9</v>
      </c>
      <c r="B11" s="4"/>
      <c r="C11" s="16"/>
      <c r="D11" s="17"/>
      <c r="E11" s="18"/>
      <c r="H11" s="8"/>
      <c r="I11" s="8"/>
    </row>
    <row r="12" spans="1:9" ht="22.5" customHeight="1" x14ac:dyDescent="0.3">
      <c r="A12" s="46">
        <v>10</v>
      </c>
      <c r="B12" s="4"/>
      <c r="C12" s="16"/>
      <c r="D12" s="17"/>
      <c r="E12" s="18"/>
      <c r="H12" s="8"/>
      <c r="I12" s="8"/>
    </row>
    <row r="13" spans="1:9" ht="22.5" customHeight="1" x14ac:dyDescent="0.3">
      <c r="A13" s="46">
        <v>11</v>
      </c>
      <c r="B13" s="5"/>
      <c r="C13" s="16"/>
      <c r="D13" s="17"/>
      <c r="E13" s="18"/>
      <c r="H13" s="8"/>
      <c r="I13" s="8"/>
    </row>
    <row r="14" spans="1:9" ht="22.5" customHeight="1" x14ac:dyDescent="0.3">
      <c r="A14" s="46">
        <v>12</v>
      </c>
      <c r="B14" s="6"/>
      <c r="C14" s="16"/>
      <c r="D14" s="17"/>
      <c r="E14" s="18"/>
      <c r="H14" s="8"/>
      <c r="I14" s="8"/>
    </row>
    <row r="15" spans="1:9" ht="22.5" customHeight="1" x14ac:dyDescent="0.3">
      <c r="A15" s="46">
        <v>13</v>
      </c>
      <c r="B15" s="4"/>
      <c r="C15" s="16"/>
      <c r="D15" s="17"/>
      <c r="E15" s="18"/>
      <c r="H15" s="8"/>
      <c r="I15" s="8"/>
    </row>
    <row r="16" spans="1:9" ht="22.5" customHeight="1" x14ac:dyDescent="0.3">
      <c r="A16" s="46">
        <v>14</v>
      </c>
      <c r="B16" s="5"/>
      <c r="C16" s="16"/>
      <c r="D16" s="17"/>
      <c r="E16" s="18"/>
      <c r="H16" s="8"/>
      <c r="I16" s="8"/>
    </row>
    <row r="17" spans="1:9" ht="22.5" customHeight="1" x14ac:dyDescent="0.3">
      <c r="A17" s="46">
        <v>15</v>
      </c>
      <c r="B17" s="4"/>
      <c r="C17" s="16"/>
      <c r="D17" s="17"/>
      <c r="E17" s="18"/>
      <c r="H17" s="8"/>
      <c r="I17" s="8"/>
    </row>
    <row r="18" spans="1:9" ht="22.5" customHeight="1" x14ac:dyDescent="0.3">
      <c r="A18" s="46">
        <v>16</v>
      </c>
      <c r="B18" s="5"/>
      <c r="C18" s="16"/>
      <c r="D18" s="17"/>
      <c r="E18" s="18"/>
      <c r="H18" s="8"/>
      <c r="I18" s="8"/>
    </row>
    <row r="19" spans="1:9" ht="22.5" customHeight="1" x14ac:dyDescent="0.3">
      <c r="A19" s="46">
        <v>17</v>
      </c>
      <c r="B19" s="5"/>
      <c r="C19" s="16"/>
      <c r="D19" s="17"/>
      <c r="E19" s="18"/>
      <c r="H19" s="8"/>
      <c r="I19" s="8"/>
    </row>
    <row r="20" spans="1:9" ht="22.5" customHeight="1" x14ac:dyDescent="0.3">
      <c r="A20" s="46">
        <v>18</v>
      </c>
      <c r="B20" s="6"/>
      <c r="C20" s="16"/>
      <c r="D20" s="17"/>
      <c r="E20" s="18"/>
      <c r="H20" s="8"/>
      <c r="I20" s="8"/>
    </row>
    <row r="21" spans="1:9" ht="22.5" customHeight="1" x14ac:dyDescent="0.3">
      <c r="A21" s="46">
        <v>19</v>
      </c>
      <c r="B21" s="5"/>
      <c r="C21" s="16"/>
      <c r="D21" s="17"/>
      <c r="E21" s="18"/>
      <c r="H21" s="8"/>
      <c r="I21" s="8"/>
    </row>
    <row r="22" spans="1:9" ht="22.5" customHeight="1" x14ac:dyDescent="0.3">
      <c r="A22" s="46">
        <v>20</v>
      </c>
      <c r="B22" s="5"/>
      <c r="C22" s="16"/>
      <c r="D22" s="17"/>
      <c r="E22" s="18"/>
      <c r="H22" s="8"/>
      <c r="I22" s="8"/>
    </row>
    <row r="23" spans="1:9" ht="22.5" customHeight="1" x14ac:dyDescent="0.3">
      <c r="A23" s="46">
        <v>21</v>
      </c>
      <c r="B23" s="5"/>
      <c r="C23" s="16"/>
      <c r="D23" s="17"/>
      <c r="E23" s="18"/>
      <c r="H23" s="8"/>
      <c r="I23" s="8"/>
    </row>
    <row r="24" spans="1:9" ht="22.5" customHeight="1" x14ac:dyDescent="0.3">
      <c r="A24" s="46">
        <v>22</v>
      </c>
      <c r="B24" s="5"/>
      <c r="C24" s="16"/>
      <c r="D24" s="17"/>
      <c r="E24" s="18"/>
      <c r="H24" s="8"/>
      <c r="I24" s="8"/>
    </row>
    <row r="25" spans="1:9" ht="22.5" customHeight="1" x14ac:dyDescent="0.3">
      <c r="A25" s="46">
        <v>23</v>
      </c>
      <c r="B25" s="5"/>
      <c r="C25" s="16"/>
      <c r="D25" s="17"/>
      <c r="E25" s="18"/>
      <c r="H25" s="8"/>
      <c r="I25" s="8"/>
    </row>
    <row r="26" spans="1:9" ht="22.5" customHeight="1" x14ac:dyDescent="0.3">
      <c r="A26" s="46">
        <v>24</v>
      </c>
      <c r="B26" s="5"/>
      <c r="C26" s="16"/>
      <c r="D26" s="17"/>
      <c r="E26" s="18"/>
      <c r="H26" s="8"/>
      <c r="I26" s="8"/>
    </row>
    <row r="27" spans="1:9" ht="22.5" customHeight="1" x14ac:dyDescent="0.3">
      <c r="A27" s="46">
        <v>25</v>
      </c>
      <c r="B27" s="5"/>
      <c r="C27" s="16"/>
      <c r="D27" s="17"/>
      <c r="E27" s="18"/>
      <c r="H27" s="8"/>
      <c r="I27" s="8"/>
    </row>
    <row r="28" spans="1:9" ht="22.5" customHeight="1" x14ac:dyDescent="0.3">
      <c r="A28" s="46">
        <v>26</v>
      </c>
      <c r="B28" s="5"/>
      <c r="C28" s="16"/>
      <c r="D28" s="17"/>
      <c r="E28" s="18"/>
      <c r="H28" s="8"/>
      <c r="I28" s="8"/>
    </row>
    <row r="29" spans="1:9" ht="22.5" customHeight="1" x14ac:dyDescent="0.3">
      <c r="A29" s="46">
        <v>27</v>
      </c>
      <c r="B29" s="5"/>
      <c r="C29" s="16"/>
      <c r="D29" s="17"/>
      <c r="E29" s="18"/>
      <c r="H29" s="8"/>
      <c r="I29" s="8"/>
    </row>
    <row r="30" spans="1:9" ht="22.5" customHeight="1" x14ac:dyDescent="0.3">
      <c r="A30" s="46">
        <v>28</v>
      </c>
      <c r="B30" s="4"/>
      <c r="C30" s="16"/>
      <c r="D30" s="17"/>
      <c r="E30" s="18"/>
      <c r="H30" s="8"/>
      <c r="I30" s="8"/>
    </row>
    <row r="31" spans="1:9" ht="22.5" customHeight="1" x14ac:dyDescent="0.3">
      <c r="A31" s="46">
        <v>29</v>
      </c>
      <c r="B31" s="4"/>
      <c r="C31" s="16"/>
      <c r="D31" s="17"/>
      <c r="E31" s="18"/>
      <c r="H31" s="8"/>
      <c r="I31" s="8"/>
    </row>
    <row r="32" spans="1:9" ht="22.5" customHeight="1" x14ac:dyDescent="0.3">
      <c r="A32" s="46">
        <v>30</v>
      </c>
      <c r="B32" s="4"/>
      <c r="C32" s="16"/>
      <c r="D32" s="17"/>
      <c r="E32" s="18"/>
      <c r="H32" s="8"/>
      <c r="I32" s="8"/>
    </row>
    <row r="33" spans="1:9" ht="22.5" customHeight="1" x14ac:dyDescent="0.3">
      <c r="A33" s="46">
        <v>31</v>
      </c>
      <c r="B33" s="5"/>
      <c r="C33" s="16"/>
      <c r="D33" s="17"/>
      <c r="E33" s="18"/>
      <c r="H33" s="8"/>
      <c r="I33" s="8"/>
    </row>
    <row r="34" spans="1:9" ht="22.5" customHeight="1" x14ac:dyDescent="0.3">
      <c r="A34" s="46">
        <v>32</v>
      </c>
      <c r="B34" s="5"/>
      <c r="C34" s="16"/>
      <c r="D34" s="17"/>
      <c r="E34" s="18"/>
      <c r="H34" s="8"/>
      <c r="I34" s="8"/>
    </row>
    <row r="35" spans="1:9" ht="22.5" customHeight="1" x14ac:dyDescent="0.3">
      <c r="A35" s="46">
        <v>33</v>
      </c>
      <c r="B35" s="4"/>
      <c r="C35" s="16"/>
      <c r="D35" s="17"/>
      <c r="E35" s="18"/>
      <c r="H35" s="8"/>
      <c r="I35" s="8"/>
    </row>
    <row r="36" spans="1:9" ht="22.5" customHeight="1" x14ac:dyDescent="0.3">
      <c r="A36" s="46">
        <v>34</v>
      </c>
      <c r="B36" s="5"/>
      <c r="C36" s="16"/>
      <c r="D36" s="17"/>
      <c r="E36" s="18"/>
      <c r="H36" s="8"/>
      <c r="I36" s="8"/>
    </row>
    <row r="37" spans="1:9" ht="22.5" customHeight="1" x14ac:dyDescent="0.3">
      <c r="A37" s="46">
        <v>35</v>
      </c>
      <c r="B37" s="5"/>
      <c r="C37" s="16"/>
      <c r="D37" s="17"/>
      <c r="E37" s="18"/>
      <c r="H37" s="8"/>
      <c r="I37" s="8"/>
    </row>
    <row r="38" spans="1:9" ht="22.5" customHeight="1" x14ac:dyDescent="0.3">
      <c r="A38" s="46">
        <v>36</v>
      </c>
      <c r="B38" s="4"/>
      <c r="C38" s="16"/>
      <c r="D38" s="17"/>
      <c r="E38" s="18"/>
      <c r="H38" s="8"/>
      <c r="I38" s="8"/>
    </row>
    <row r="39" spans="1:9" ht="22.5" customHeight="1" x14ac:dyDescent="0.3">
      <c r="A39" s="46">
        <v>37</v>
      </c>
      <c r="B39" s="4"/>
      <c r="C39" s="16"/>
      <c r="D39" s="17"/>
      <c r="E39" s="18"/>
      <c r="H39" s="8"/>
      <c r="I39" s="8"/>
    </row>
    <row r="40" spans="1:9" ht="22.5" customHeight="1" x14ac:dyDescent="0.3">
      <c r="A40" s="46">
        <v>38</v>
      </c>
      <c r="B40" s="5"/>
      <c r="C40" s="16"/>
      <c r="D40" s="17"/>
      <c r="E40" s="18"/>
      <c r="H40" s="8"/>
      <c r="I40" s="8"/>
    </row>
    <row r="41" spans="1:9" ht="22.5" customHeight="1" x14ac:dyDescent="0.3">
      <c r="A41" s="46">
        <v>39</v>
      </c>
      <c r="B41" s="6"/>
      <c r="C41" s="16"/>
      <c r="D41" s="17"/>
      <c r="E41" s="18"/>
      <c r="H41" s="8"/>
      <c r="I41" s="8"/>
    </row>
    <row r="42" spans="1:9" ht="22.5" customHeight="1" x14ac:dyDescent="0.3">
      <c r="A42" s="46">
        <v>40</v>
      </c>
      <c r="B42" s="4"/>
      <c r="C42" s="16"/>
      <c r="D42" s="17"/>
      <c r="E42" s="18"/>
      <c r="H42" s="8"/>
      <c r="I42" s="8"/>
    </row>
    <row r="43" spans="1:9" ht="22.5" customHeight="1" x14ac:dyDescent="0.3">
      <c r="A43" s="46">
        <v>41</v>
      </c>
      <c r="B43" s="5"/>
      <c r="C43" s="16"/>
      <c r="D43" s="17"/>
      <c r="E43" s="18"/>
      <c r="H43" s="8"/>
      <c r="I43" s="8"/>
    </row>
    <row r="44" spans="1:9" ht="22.5" customHeight="1" x14ac:dyDescent="0.3">
      <c r="A44" s="46">
        <v>42</v>
      </c>
      <c r="B44" s="4"/>
      <c r="C44" s="16"/>
      <c r="D44" s="17"/>
      <c r="E44" s="18"/>
      <c r="H44" s="8"/>
      <c r="I44" s="8"/>
    </row>
    <row r="45" spans="1:9" ht="22.5" customHeight="1" x14ac:dyDescent="0.3">
      <c r="A45" s="46">
        <v>43</v>
      </c>
      <c r="B45" s="5"/>
      <c r="C45" s="16"/>
      <c r="D45" s="17"/>
      <c r="E45" s="18"/>
      <c r="H45" s="8"/>
      <c r="I45" s="8"/>
    </row>
    <row r="46" spans="1:9" ht="22.5" customHeight="1" x14ac:dyDescent="0.3">
      <c r="A46" s="46">
        <v>44</v>
      </c>
      <c r="B46" s="5"/>
      <c r="C46" s="16"/>
      <c r="D46" s="17"/>
      <c r="E46" s="18"/>
      <c r="H46" s="8"/>
      <c r="I46" s="8"/>
    </row>
    <row r="47" spans="1:9" ht="22.5" customHeight="1" x14ac:dyDescent="0.3">
      <c r="A47" s="46">
        <v>45</v>
      </c>
      <c r="B47" s="6"/>
      <c r="C47" s="16"/>
      <c r="D47" s="17"/>
      <c r="E47" s="18"/>
      <c r="H47" s="8"/>
      <c r="I47" s="8"/>
    </row>
    <row r="48" spans="1:9" ht="22.5" customHeight="1" x14ac:dyDescent="0.3">
      <c r="A48" s="46">
        <v>46</v>
      </c>
      <c r="B48" s="5"/>
      <c r="C48" s="16"/>
      <c r="D48" s="17"/>
      <c r="E48" s="18"/>
      <c r="H48" s="8"/>
      <c r="I48" s="8"/>
    </row>
    <row r="49" spans="1:9" ht="22.5" customHeight="1" x14ac:dyDescent="0.3">
      <c r="A49" s="46">
        <v>47</v>
      </c>
      <c r="B49" s="5"/>
      <c r="C49" s="16"/>
      <c r="D49" s="17"/>
      <c r="E49" s="18"/>
      <c r="H49" s="8"/>
      <c r="I49" s="8"/>
    </row>
    <row r="50" spans="1:9" ht="22.5" customHeight="1" x14ac:dyDescent="0.3">
      <c r="A50" s="46">
        <v>48</v>
      </c>
      <c r="B50" s="5"/>
      <c r="C50" s="16"/>
      <c r="D50" s="17"/>
      <c r="E50" s="18"/>
      <c r="H50" s="8"/>
      <c r="I50" s="8"/>
    </row>
    <row r="51" spans="1:9" ht="22.5" customHeight="1" x14ac:dyDescent="0.3">
      <c r="A51" s="46">
        <v>49</v>
      </c>
      <c r="B51" s="5"/>
      <c r="C51" s="16"/>
      <c r="D51" s="17"/>
      <c r="E51" s="18"/>
      <c r="H51" s="8"/>
      <c r="I51" s="8"/>
    </row>
    <row r="52" spans="1:9" ht="22.5" customHeight="1" x14ac:dyDescent="0.3">
      <c r="A52" s="46">
        <v>50</v>
      </c>
      <c r="B52" s="5"/>
      <c r="C52" s="16"/>
      <c r="D52" s="17"/>
      <c r="E52" s="18"/>
      <c r="H52" s="8"/>
      <c r="I52" s="8"/>
    </row>
    <row r="53" spans="1:9" ht="22.5" customHeight="1" x14ac:dyDescent="0.3">
      <c r="A53" s="47">
        <v>51</v>
      </c>
      <c r="B53" s="4"/>
      <c r="C53" s="16"/>
      <c r="D53" s="17"/>
      <c r="E53" s="18"/>
      <c r="H53" s="8"/>
      <c r="I53" s="8"/>
    </row>
    <row r="54" spans="1:9" ht="22.5" customHeight="1" x14ac:dyDescent="0.3">
      <c r="A54" s="47">
        <v>52</v>
      </c>
      <c r="B54" s="4"/>
      <c r="C54" s="16"/>
      <c r="D54" s="17"/>
      <c r="E54" s="18"/>
      <c r="H54" s="8"/>
      <c r="I54" s="8"/>
    </row>
    <row r="55" spans="1:9" ht="22.5" customHeight="1" x14ac:dyDescent="0.3">
      <c r="A55" s="47">
        <v>53</v>
      </c>
      <c r="B55" s="5"/>
      <c r="C55" s="16"/>
      <c r="D55" s="17"/>
      <c r="E55" s="18"/>
      <c r="H55" s="8"/>
      <c r="I55" s="8"/>
    </row>
    <row r="56" spans="1:9" ht="22.5" customHeight="1" x14ac:dyDescent="0.3">
      <c r="A56" s="47">
        <v>54</v>
      </c>
      <c r="B56" s="5"/>
      <c r="C56" s="16"/>
      <c r="D56" s="17"/>
      <c r="E56" s="18"/>
      <c r="H56" s="8"/>
      <c r="I56" s="8"/>
    </row>
    <row r="57" spans="1:9" ht="22.5" customHeight="1" x14ac:dyDescent="0.3">
      <c r="A57" s="47">
        <v>55</v>
      </c>
      <c r="B57" s="4"/>
      <c r="C57" s="16"/>
      <c r="D57" s="17"/>
      <c r="E57" s="18"/>
      <c r="H57" s="8"/>
      <c r="I57" s="8"/>
    </row>
    <row r="58" spans="1:9" ht="22.5" customHeight="1" x14ac:dyDescent="0.3">
      <c r="A58" s="47">
        <v>56</v>
      </c>
      <c r="B58" s="5"/>
      <c r="C58" s="16"/>
      <c r="D58" s="17"/>
      <c r="E58" s="18"/>
      <c r="H58" s="8"/>
      <c r="I58" s="8"/>
    </row>
    <row r="59" spans="1:9" ht="22.5" customHeight="1" x14ac:dyDescent="0.3">
      <c r="A59" s="47">
        <v>57</v>
      </c>
      <c r="B59" s="5"/>
      <c r="C59" s="16"/>
      <c r="D59" s="17"/>
      <c r="E59" s="18"/>
      <c r="H59" s="8"/>
      <c r="I59" s="8"/>
    </row>
    <row r="60" spans="1:9" ht="22.5" customHeight="1" x14ac:dyDescent="0.3">
      <c r="A60" s="47">
        <v>58</v>
      </c>
      <c r="B60" s="4"/>
      <c r="C60" s="16"/>
      <c r="D60" s="17"/>
      <c r="E60" s="18"/>
      <c r="H60" s="8"/>
      <c r="I60" s="8"/>
    </row>
    <row r="61" spans="1:9" ht="22.5" customHeight="1" x14ac:dyDescent="0.3">
      <c r="A61" s="47">
        <v>59</v>
      </c>
      <c r="B61" s="4"/>
      <c r="C61" s="16"/>
      <c r="D61" s="17"/>
      <c r="E61" s="18"/>
      <c r="H61" s="8"/>
      <c r="I61" s="8"/>
    </row>
    <row r="62" spans="1:9" ht="22.5" customHeight="1" x14ac:dyDescent="0.3">
      <c r="A62" s="47">
        <v>60</v>
      </c>
      <c r="B62" s="5"/>
      <c r="C62" s="16"/>
      <c r="D62" s="17"/>
      <c r="E62" s="18"/>
      <c r="H62" s="8"/>
      <c r="I62" s="8"/>
    </row>
    <row r="63" spans="1:9" ht="22.5" customHeight="1" x14ac:dyDescent="0.3">
      <c r="A63" s="47">
        <v>61</v>
      </c>
      <c r="B63" s="6"/>
      <c r="C63" s="16"/>
      <c r="D63" s="17"/>
      <c r="E63" s="18"/>
      <c r="H63" s="8"/>
      <c r="I63" s="8"/>
    </row>
    <row r="64" spans="1:9" ht="22.5" customHeight="1" x14ac:dyDescent="0.3">
      <c r="A64" s="47">
        <v>62</v>
      </c>
      <c r="B64" s="4"/>
      <c r="C64" s="16"/>
      <c r="D64" s="17"/>
      <c r="E64" s="18"/>
      <c r="H64" s="8"/>
      <c r="I64" s="8"/>
    </row>
    <row r="65" spans="1:9" ht="22.5" customHeight="1" x14ac:dyDescent="0.3">
      <c r="A65" s="47">
        <v>63</v>
      </c>
      <c r="B65" s="5"/>
      <c r="C65" s="16"/>
      <c r="D65" s="17"/>
      <c r="E65" s="18"/>
      <c r="H65" s="8"/>
      <c r="I65" s="8"/>
    </row>
    <row r="66" spans="1:9" ht="22.5" customHeight="1" x14ac:dyDescent="0.3">
      <c r="A66" s="47">
        <v>64</v>
      </c>
      <c r="B66" s="4"/>
      <c r="C66" s="16"/>
      <c r="D66" s="17"/>
      <c r="E66" s="18"/>
      <c r="H66" s="8"/>
      <c r="I66" s="8"/>
    </row>
    <row r="67" spans="1:9" ht="22.5" customHeight="1" x14ac:dyDescent="0.3">
      <c r="A67" s="47">
        <v>65</v>
      </c>
      <c r="B67" s="5"/>
      <c r="C67" s="16"/>
      <c r="D67" s="17"/>
      <c r="E67" s="18"/>
      <c r="H67" s="8"/>
      <c r="I67" s="8"/>
    </row>
    <row r="68" spans="1:9" ht="22.5" customHeight="1" x14ac:dyDescent="0.3">
      <c r="A68" s="47">
        <v>66</v>
      </c>
      <c r="B68" s="5"/>
      <c r="C68" s="16"/>
      <c r="D68" s="17"/>
      <c r="E68" s="18"/>
      <c r="H68" s="8"/>
      <c r="I68" s="8"/>
    </row>
    <row r="69" spans="1:9" ht="22.5" customHeight="1" x14ac:dyDescent="0.3">
      <c r="A69" s="47">
        <v>67</v>
      </c>
      <c r="B69" s="6"/>
      <c r="C69" s="16"/>
      <c r="D69" s="17"/>
      <c r="E69" s="18"/>
      <c r="H69" s="8"/>
      <c r="I69" s="8"/>
    </row>
    <row r="70" spans="1:9" ht="22.5" customHeight="1" x14ac:dyDescent="0.3">
      <c r="A70" s="47">
        <v>68</v>
      </c>
      <c r="B70" s="5"/>
      <c r="C70" s="16"/>
      <c r="D70" s="17"/>
      <c r="E70" s="18"/>
      <c r="H70" s="8"/>
      <c r="I70" s="8"/>
    </row>
    <row r="71" spans="1:9" ht="22.5" customHeight="1" x14ac:dyDescent="0.3">
      <c r="A71" s="47">
        <v>69</v>
      </c>
      <c r="B71" s="5"/>
      <c r="C71" s="16"/>
      <c r="D71" s="17"/>
      <c r="E71" s="18"/>
      <c r="H71" s="8"/>
      <c r="I71" s="8"/>
    </row>
    <row r="72" spans="1:9" ht="22.5" customHeight="1" x14ac:dyDescent="0.3">
      <c r="A72" s="47">
        <v>70</v>
      </c>
      <c r="B72" s="5"/>
      <c r="C72" s="16"/>
      <c r="D72" s="17"/>
      <c r="E72" s="18"/>
      <c r="H72" s="8"/>
      <c r="I72" s="8"/>
    </row>
    <row r="73" spans="1:9" ht="22.5" customHeight="1" x14ac:dyDescent="0.3">
      <c r="A73" s="47">
        <v>71</v>
      </c>
      <c r="B73" s="5"/>
      <c r="C73" s="16"/>
      <c r="D73" s="17"/>
      <c r="E73" s="18"/>
      <c r="H73" s="8"/>
      <c r="I73" s="8"/>
    </row>
    <row r="74" spans="1:9" ht="22.5" customHeight="1" x14ac:dyDescent="0.3">
      <c r="A74" s="47">
        <v>72</v>
      </c>
      <c r="B74" s="5"/>
      <c r="C74" s="16"/>
      <c r="D74" s="17"/>
      <c r="E74" s="18"/>
      <c r="H74" s="8"/>
      <c r="I74" s="8"/>
    </row>
    <row r="75" spans="1:9" ht="22.5" customHeight="1" x14ac:dyDescent="0.3">
      <c r="A75" s="47">
        <v>73</v>
      </c>
      <c r="B75" s="5"/>
      <c r="C75" s="16"/>
      <c r="D75" s="17"/>
      <c r="E75" s="18"/>
      <c r="H75" s="8"/>
      <c r="I75" s="8"/>
    </row>
    <row r="76" spans="1:9" ht="22.5" customHeight="1" x14ac:dyDescent="0.3">
      <c r="A76" s="47">
        <v>74</v>
      </c>
      <c r="B76" s="5"/>
      <c r="C76" s="16"/>
      <c r="D76" s="17"/>
      <c r="E76" s="18"/>
      <c r="H76" s="8"/>
      <c r="I76" s="8"/>
    </row>
    <row r="77" spans="1:9" ht="22.5" customHeight="1" x14ac:dyDescent="0.3">
      <c r="A77" s="47">
        <v>75</v>
      </c>
      <c r="B77" s="5"/>
      <c r="C77" s="16"/>
      <c r="D77" s="17"/>
      <c r="E77" s="18"/>
      <c r="H77" s="8"/>
      <c r="I77" s="8"/>
    </row>
    <row r="78" spans="1:9" ht="22.5" customHeight="1" x14ac:dyDescent="0.3">
      <c r="A78" s="47">
        <v>76</v>
      </c>
      <c r="B78" s="5"/>
      <c r="C78" s="16"/>
      <c r="D78" s="17"/>
      <c r="E78" s="18"/>
      <c r="H78" s="8"/>
      <c r="I78" s="8"/>
    </row>
    <row r="79" spans="1:9" ht="22.5" customHeight="1" x14ac:dyDescent="0.3">
      <c r="A79" s="47">
        <v>77</v>
      </c>
      <c r="B79" s="4"/>
      <c r="C79" s="16"/>
      <c r="D79" s="17"/>
      <c r="E79" s="18"/>
      <c r="H79" s="8"/>
      <c r="I79" s="8"/>
    </row>
    <row r="80" spans="1:9" ht="22.5" customHeight="1" x14ac:dyDescent="0.3">
      <c r="A80" s="47">
        <v>78</v>
      </c>
      <c r="B80" s="4"/>
      <c r="C80" s="16"/>
      <c r="D80" s="17"/>
      <c r="E80" s="18"/>
      <c r="H80" s="8"/>
      <c r="I80" s="8"/>
    </row>
    <row r="81" spans="1:9" ht="22.5" customHeight="1" x14ac:dyDescent="0.3">
      <c r="A81" s="47">
        <v>79</v>
      </c>
      <c r="B81" s="4"/>
      <c r="C81" s="16"/>
      <c r="D81" s="17"/>
      <c r="E81" s="18"/>
      <c r="H81" s="8"/>
      <c r="I81" s="8"/>
    </row>
    <row r="82" spans="1:9" ht="22.5" customHeight="1" x14ac:dyDescent="0.3">
      <c r="A82" s="47">
        <v>80</v>
      </c>
      <c r="B82" s="5"/>
      <c r="C82" s="16"/>
      <c r="D82" s="17"/>
      <c r="E82" s="18"/>
      <c r="H82" s="8"/>
      <c r="I82" s="8"/>
    </row>
    <row r="83" spans="1:9" ht="22.5" customHeight="1" x14ac:dyDescent="0.3">
      <c r="A83" s="47">
        <v>81</v>
      </c>
      <c r="B83" s="5"/>
      <c r="C83" s="16"/>
      <c r="D83" s="17"/>
      <c r="E83" s="18"/>
      <c r="H83" s="8"/>
      <c r="I83" s="8"/>
    </row>
    <row r="84" spans="1:9" ht="22.5" customHeight="1" x14ac:dyDescent="0.3">
      <c r="A84" s="47">
        <v>82</v>
      </c>
      <c r="B84" s="4"/>
      <c r="C84" s="16"/>
      <c r="D84" s="17"/>
      <c r="E84" s="18"/>
      <c r="H84" s="8"/>
      <c r="I84" s="8"/>
    </row>
    <row r="85" spans="1:9" ht="22.5" customHeight="1" x14ac:dyDescent="0.3">
      <c r="A85" s="47">
        <v>83</v>
      </c>
      <c r="B85" s="5"/>
      <c r="C85" s="16"/>
      <c r="D85" s="17"/>
      <c r="E85" s="18"/>
      <c r="H85" s="8"/>
      <c r="I85" s="8"/>
    </row>
    <row r="86" spans="1:9" ht="22.5" customHeight="1" x14ac:dyDescent="0.3">
      <c r="A86" s="47">
        <v>84</v>
      </c>
      <c r="B86" s="5"/>
      <c r="C86" s="16"/>
      <c r="D86" s="17"/>
      <c r="E86" s="18"/>
      <c r="H86" s="8"/>
      <c r="I86" s="8"/>
    </row>
    <row r="87" spans="1:9" ht="22.5" customHeight="1" x14ac:dyDescent="0.3">
      <c r="A87" s="47">
        <v>85</v>
      </c>
      <c r="B87" s="4"/>
      <c r="C87" s="16"/>
      <c r="D87" s="17"/>
      <c r="E87" s="18"/>
      <c r="H87" s="8"/>
      <c r="I87" s="8"/>
    </row>
    <row r="88" spans="1:9" ht="22.5" customHeight="1" x14ac:dyDescent="0.3">
      <c r="A88" s="47">
        <v>86</v>
      </c>
      <c r="B88" s="4"/>
      <c r="C88" s="16"/>
      <c r="D88" s="17"/>
      <c r="E88" s="18"/>
      <c r="H88" s="8"/>
      <c r="I88" s="8"/>
    </row>
    <row r="89" spans="1:9" ht="22.5" customHeight="1" x14ac:dyDescent="0.3">
      <c r="A89" s="47">
        <v>87</v>
      </c>
      <c r="B89" s="5"/>
      <c r="C89" s="16"/>
      <c r="D89" s="17"/>
      <c r="E89" s="18"/>
      <c r="H89" s="8"/>
      <c r="I89" s="8"/>
    </row>
    <row r="90" spans="1:9" ht="22.5" customHeight="1" x14ac:dyDescent="0.3">
      <c r="A90" s="47">
        <v>88</v>
      </c>
      <c r="B90" s="6"/>
      <c r="C90" s="16"/>
      <c r="D90" s="17"/>
      <c r="E90" s="18"/>
      <c r="H90" s="8"/>
      <c r="I90" s="8"/>
    </row>
    <row r="91" spans="1:9" ht="22.5" customHeight="1" x14ac:dyDescent="0.3">
      <c r="A91" s="47">
        <v>89</v>
      </c>
      <c r="B91" s="4"/>
      <c r="C91" s="16"/>
      <c r="D91" s="17"/>
      <c r="E91" s="18"/>
      <c r="H91" s="8"/>
      <c r="I91" s="8"/>
    </row>
    <row r="92" spans="1:9" ht="22.5" customHeight="1" x14ac:dyDescent="0.3">
      <c r="A92" s="47">
        <v>90</v>
      </c>
      <c r="B92" s="5"/>
      <c r="C92" s="16"/>
      <c r="D92" s="17"/>
      <c r="E92" s="18"/>
      <c r="H92" s="8"/>
      <c r="I92" s="8"/>
    </row>
    <row r="93" spans="1:9" ht="22.5" customHeight="1" x14ac:dyDescent="0.3">
      <c r="A93" s="47">
        <v>91</v>
      </c>
      <c r="B93" s="4"/>
      <c r="C93" s="16"/>
      <c r="D93" s="17"/>
      <c r="E93" s="18"/>
      <c r="H93" s="8"/>
      <c r="I93" s="8"/>
    </row>
    <row r="94" spans="1:9" ht="22.5" customHeight="1" x14ac:dyDescent="0.3">
      <c r="A94" s="47">
        <v>92</v>
      </c>
      <c r="B94" s="5"/>
      <c r="C94" s="16"/>
      <c r="D94" s="17"/>
      <c r="E94" s="18"/>
      <c r="H94" s="8"/>
      <c r="I94" s="8"/>
    </row>
    <row r="95" spans="1:9" ht="22.5" customHeight="1" x14ac:dyDescent="0.3">
      <c r="A95" s="47">
        <v>93</v>
      </c>
      <c r="B95" s="5"/>
      <c r="C95" s="16"/>
      <c r="D95" s="17"/>
      <c r="E95" s="18"/>
      <c r="H95" s="8"/>
      <c r="I95" s="8"/>
    </row>
    <row r="96" spans="1:9" ht="22.5" customHeight="1" x14ac:dyDescent="0.3">
      <c r="A96" s="47">
        <v>94</v>
      </c>
      <c r="B96" s="6"/>
      <c r="C96" s="16"/>
      <c r="D96" s="17"/>
      <c r="E96" s="18"/>
      <c r="H96" s="8"/>
      <c r="I96" s="8"/>
    </row>
    <row r="97" spans="1:9" ht="22.5" customHeight="1" x14ac:dyDescent="0.3">
      <c r="A97" s="47">
        <v>95</v>
      </c>
      <c r="B97" s="5"/>
      <c r="C97" s="16"/>
      <c r="D97" s="17"/>
      <c r="E97" s="18"/>
      <c r="H97" s="8"/>
      <c r="I97" s="8"/>
    </row>
    <row r="98" spans="1:9" ht="22.5" customHeight="1" x14ac:dyDescent="0.3">
      <c r="A98" s="47">
        <v>96</v>
      </c>
      <c r="B98" s="5"/>
      <c r="C98" s="16"/>
      <c r="D98" s="17"/>
      <c r="E98" s="18"/>
      <c r="H98" s="8"/>
      <c r="I98" s="8"/>
    </row>
    <row r="99" spans="1:9" ht="22.5" customHeight="1" x14ac:dyDescent="0.3">
      <c r="A99" s="47">
        <v>97</v>
      </c>
      <c r="B99" s="5"/>
      <c r="C99" s="16"/>
      <c r="D99" s="17"/>
      <c r="E99" s="18"/>
      <c r="H99" s="8"/>
      <c r="I99" s="8"/>
    </row>
    <row r="100" spans="1:9" ht="22.5" customHeight="1" x14ac:dyDescent="0.3">
      <c r="A100" s="47">
        <v>98</v>
      </c>
      <c r="B100" s="5"/>
      <c r="C100" s="16"/>
      <c r="D100" s="17"/>
      <c r="E100" s="18"/>
      <c r="H100" s="8"/>
      <c r="I100" s="8"/>
    </row>
    <row r="101" spans="1:9" ht="22.5" customHeight="1" x14ac:dyDescent="0.3">
      <c r="A101" s="47">
        <v>99</v>
      </c>
      <c r="B101" s="5"/>
      <c r="C101" s="16"/>
      <c r="D101" s="17"/>
      <c r="E101" s="18"/>
      <c r="H101" s="8"/>
      <c r="I101" s="8"/>
    </row>
  </sheetData>
  <mergeCells count="3">
    <mergeCell ref="A1:A2"/>
    <mergeCell ref="B1:B2"/>
    <mergeCell ref="C1:E1"/>
  </mergeCells>
  <pageMargins left="0.7" right="0.7" top="0.75" bottom="0.75" header="0.3" footer="0.3"/>
  <pageSetup orientation="portrait" horizontalDpi="1200" verticalDpi="1200" r:id="rId1"/>
  <drawing r:id="rId2"/>
  <legacyDrawing r:id="rId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8</vt:i4>
      </vt:variant>
    </vt:vector>
  </HeadingPairs>
  <TitlesOfParts>
    <vt:vector size="8" baseType="lpstr">
      <vt:lpstr>Principal</vt:lpstr>
      <vt:lpstr>Asis. Cot IP</vt:lpstr>
      <vt:lpstr>Tareas</vt:lpstr>
      <vt:lpstr>Evaluaciones</vt:lpstr>
      <vt:lpstr>Proyectos</vt:lpstr>
      <vt:lpstr>Portafolio</vt:lpstr>
      <vt:lpstr>Asis. Cot. IIP</vt:lpstr>
      <vt:lpstr>Indicadores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Inteligencia Negocios</cp:lastModifiedBy>
  <dcterms:created xsi:type="dcterms:W3CDTF">2026-01-15T00:08:19Z</dcterms:created>
  <dcterms:modified xsi:type="dcterms:W3CDTF">2026-08-10T13:52:03Z</dcterms:modified>
</cp:coreProperties>
</file>